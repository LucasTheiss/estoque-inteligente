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11" autoFilterDateGrouping="1"/>
  </bookViews>
  <sheets>
    <sheet name="Capa" sheetId="1" state="visible" r:id="rId1"/>
    <sheet name="Contribuição" sheetId="2" state="visible" r:id="rId2"/>
    <sheet name="A01 ALI" sheetId="3" state="visible" r:id="rId3"/>
    <sheet name="A02 ALI" sheetId="4" state="visible" r:id="rId4"/>
    <sheet name="X01 AIE" sheetId="5" state="visible" r:id="rId5"/>
    <sheet name="X02 AIE" sheetId="6" state="visible" r:id="rId6"/>
    <sheet name="Entradas externas" sheetId="7" state="visible" r:id="rId7"/>
    <sheet name="SE06 SE" sheetId="8" state="visible" r:id="rId8"/>
    <sheet name="SE02 SE" sheetId="9" state="visible" r:id="rId9"/>
    <sheet name="CE04 Consulta" sheetId="10" state="visible" r:id="rId10"/>
    <sheet name="CE12 Consulta" sheetId="11" state="visible" r:id="rId11"/>
    <sheet name="Critérios e fontes" sheetId="12" state="visible" r:id="rId12"/>
    <sheet name="NI e estimativas" sheetId="13" state="visible" r:id="rId13"/>
  </sheets>
  <definedNames>
    <definedName name="_xlnm.Print_Area" localSheetId="0">'Capa'!$A$1:$D$25</definedName>
    <definedName name="_xlnm.Print_Area" localSheetId="1">'Contribuição'!$A$1:$D$25</definedName>
    <definedName name="_xlnm.Print_Area" localSheetId="2">'A01 ALI'!$A$1:$D$50</definedName>
    <definedName name="_xlnm.Print_Area" localSheetId="3">'A02 ALI'!$A$1:$D$68</definedName>
    <definedName name="_xlnm.Print_Area" localSheetId="4">'X01 AIE'!$A$1:$D$50</definedName>
    <definedName name="_xlnm.Print_Area" localSheetId="5">'X02 AIE'!$A$1:$D$62</definedName>
    <definedName name="_xlnm.Print_Area" localSheetId="6">'Entradas externas'!$A$1:$D$139</definedName>
    <definedName name="_xlnm.Print_Area" localSheetId="7">'SE06 SE'!$A$1:$D$89</definedName>
    <definedName name="_xlnm.Print_Area" localSheetId="8">'SE02 SE'!$A$1:$D$58</definedName>
    <definedName name="_xlnm.Print_Area" localSheetId="9">'CE04 Consulta'!$A$1:$D$82</definedName>
    <definedName name="_xlnm.Print_Area" localSheetId="10">'CE12 Consulta'!$A$1:$D$93</definedName>
    <definedName name="_xlnm.Print_Area" localSheetId="11">'Critérios e fontes'!$A$1:$D$47</definedName>
    <definedName name="_xlnm.Print_Area" localSheetId="12">'NI e estimativas'!$A$1:$D$49</definedName>
  </definedNames>
  <calcPr calcId="191029" fullCalcOnLoad="1"/>
</workbook>
</file>

<file path=xl/styles.xml><?xml version="1.0" encoding="utf-8"?>
<styleSheet xmlns="http://schemas.openxmlformats.org/spreadsheetml/2006/main">
  <numFmts count="5">
    <numFmt numFmtId="164" formatCode="&quot;R$ &quot;#,##0.00"/>
    <numFmt numFmtId="165" formatCode="0.0"/>
    <numFmt numFmtId="166" formatCode="dd/mm/yyyy hh:mm"/>
    <numFmt numFmtId="167" formatCode="0.0%"/>
    <numFmt numFmtId="168" formatCode="dd/mm/yyyy"/>
  </numFmts>
  <fonts count="10">
    <font>
      <name val="Calibri"/>
      <family val="2"/>
      <color rgb="FF000000"/>
      <sz val="11"/>
      <scheme val="minor"/>
    </font>
    <font>
      <name val="Arial"/>
      <family val="2"/>
      <color rgb="FF000000"/>
      <sz val="11"/>
    </font>
    <font>
      <name val="Arial"/>
      <family val="2"/>
      <b val="1"/>
      <color rgb="FF000000"/>
      <sz val="11"/>
    </font>
    <font>
      <name val="Arial"/>
      <family val="2"/>
      <b val="1"/>
      <color rgb="FF000000"/>
      <sz val="15"/>
    </font>
    <font>
      <name val="Arial"/>
      <family val="2"/>
      <i val="1"/>
      <color rgb="FF000000"/>
      <sz val="11"/>
    </font>
    <font>
      <name val="Calibri"/>
      <family val="2"/>
      <b val="1"/>
      <color rgb="FF000000"/>
      <sz val="11"/>
    </font>
    <font>
      <name val="Calibri"/>
      <color rgb="0017334A"/>
      <sz val="11"/>
    </font>
    <font>
      <name val="Calibri"/>
      <b val="1"/>
      <color rgb="00FFFFFF"/>
      <sz val="16"/>
    </font>
    <font>
      <name val="Calibri"/>
      <b val="1"/>
      <color rgb="00087E8B"/>
      <sz val="11"/>
    </font>
    <font>
      <name val="Calibri"/>
      <b val="1"/>
      <color rgb="00FFFFFF"/>
      <sz val="11"/>
    </font>
  </fonts>
  <fills count="4">
    <fill>
      <patternFill/>
    </fill>
    <fill>
      <patternFill patternType="gray125">
        <bgColor indexed="64"/>
      </patternFill>
    </fill>
    <fill>
      <patternFill patternType="solid">
        <fgColor rgb="0017334A"/>
      </patternFill>
    </fill>
    <fill>
      <patternFill patternType="solid">
        <fgColor rgb="00087E8B"/>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87">
    <xf numFmtId="0" fontId="0" fillId="0" borderId="0" pivotButton="0" quotePrefix="0" xfId="0"/>
    <xf numFmtId="0" fontId="1" fillId="0" borderId="0" pivotButton="0" quotePrefix="0" xfId="0"/>
    <xf numFmtId="0" fontId="1" fillId="0" borderId="0" applyAlignment="1" pivotButton="0" quotePrefix="0" xfId="0">
      <alignment horizontal="left"/>
    </xf>
    <xf numFmtId="0" fontId="1" fillId="0" borderId="0" applyAlignment="1" pivotButton="0" quotePrefix="0" xfId="0">
      <alignment horizontal="left" wrapText="1"/>
    </xf>
    <xf numFmtId="0" fontId="2" fillId="0" borderId="0" applyAlignment="1" pivotButton="0" quotePrefix="0" xfId="0">
      <alignment horizontal="left"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2" applyAlignment="1" pivotButton="0" quotePrefix="0" xfId="0">
      <alignment horizontal="left" vertical="center" wrapText="1"/>
    </xf>
    <xf numFmtId="0" fontId="1" fillId="0" borderId="3" applyAlignment="1" pivotButton="0" quotePrefix="0" xfId="0">
      <alignment horizontal="left" vertical="center"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1" fillId="0" borderId="0" applyAlignment="1" pivotButton="0" quotePrefix="0" xfId="0">
      <alignment wrapText="1"/>
    </xf>
    <xf numFmtId="0" fontId="1" fillId="0" borderId="0" applyAlignment="1" pivotButton="0" quotePrefix="0" xfId="0">
      <alignment vertical="center"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2" fillId="0" borderId="4" applyAlignment="1" pivotButton="0" quotePrefix="0" xfId="0">
      <alignment horizontal="left" vertical="center" wrapText="1"/>
    </xf>
    <xf numFmtId="3" fontId="2" fillId="0" borderId="0" applyAlignment="1" pivotButton="0" quotePrefix="0" xfId="0">
      <alignment horizontal="center" vertical="center" wrapText="1"/>
    </xf>
    <xf numFmtId="3" fontId="2" fillId="0" borderId="4" applyAlignment="1" pivotButton="0" quotePrefix="0" xfId="0">
      <alignment horizontal="center" vertical="center" wrapText="1"/>
    </xf>
    <xf numFmtId="4" fontId="2" fillId="0" borderId="0" applyAlignment="1" pivotButton="0" quotePrefix="0" xfId="0">
      <alignment horizontal="center" vertical="center" wrapText="1"/>
    </xf>
    <xf numFmtId="4" fontId="2" fillId="0" borderId="4"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1" fillId="0" borderId="4" applyAlignment="1" pivotButton="0" quotePrefix="0" xfId="0">
      <alignment horizontal="left" vertical="center" wrapText="1"/>
    </xf>
    <xf numFmtId="1" fontId="1" fillId="0" borderId="0" applyAlignment="1" pivotButton="0" quotePrefix="0" xfId="0">
      <alignment horizontal="center" vertical="center" wrapText="1"/>
    </xf>
    <xf numFmtId="1" fontId="1" fillId="0" borderId="4" applyAlignment="1" pivotButton="0" quotePrefix="0" xfId="0">
      <alignment horizontal="center" vertical="center" wrapText="1"/>
    </xf>
    <xf numFmtId="4" fontId="1" fillId="0" borderId="0" applyAlignment="1" pivotButton="0" quotePrefix="0" xfId="0">
      <alignment horizontal="center" vertical="center" wrapText="1"/>
    </xf>
    <xf numFmtId="4" fontId="1" fillId="0" borderId="4" applyAlignment="1" pivotButton="0" quotePrefix="0" xfId="0">
      <alignment horizontal="center" vertical="center" wrapText="1"/>
    </xf>
    <xf numFmtId="9" fontId="1" fillId="0" borderId="0" applyAlignment="1" pivotButton="0" quotePrefix="0" xfId="0">
      <alignment horizontal="center" vertical="center" wrapText="1"/>
    </xf>
    <xf numFmtId="9" fontId="1" fillId="0" borderId="4" applyAlignment="1" pivotButton="0" quotePrefix="0" xfId="0">
      <alignment horizontal="center" vertical="center" wrapText="1"/>
    </xf>
    <xf numFmtId="164" fontId="1" fillId="0" borderId="0" applyAlignment="1" pivotButton="0" quotePrefix="0" xfId="0">
      <alignment horizontal="center" vertical="center" wrapText="1"/>
    </xf>
    <xf numFmtId="164" fontId="1" fillId="0" borderId="4"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2" applyAlignment="1" pivotButton="0" quotePrefix="0" xfId="0">
      <alignment horizontal="left" vertical="center" wrapText="1"/>
    </xf>
    <xf numFmtId="0" fontId="4" fillId="0" borderId="3" applyAlignment="1" pivotButton="0" quotePrefix="0" xfId="0">
      <alignment horizontal="left" vertical="center" wrapText="1"/>
    </xf>
    <xf numFmtId="165" fontId="1" fillId="0" borderId="0" applyAlignment="1" pivotButton="0" quotePrefix="0" xfId="0">
      <alignment horizontal="center" vertical="center" wrapText="1"/>
    </xf>
    <xf numFmtId="165" fontId="1" fillId="0" borderId="4" applyAlignment="1" pivotButton="0" quotePrefix="0" xfId="0">
      <alignment horizontal="center" vertical="center" wrapText="1"/>
    </xf>
    <xf numFmtId="164" fontId="2" fillId="0" borderId="0" applyAlignment="1" pivotButton="0" quotePrefix="0" xfId="0">
      <alignment horizontal="center" vertical="center" wrapText="1"/>
    </xf>
    <xf numFmtId="164" fontId="2" fillId="0" borderId="4" applyAlignment="1" pivotButton="0" quotePrefix="0" xfId="0">
      <alignment horizontal="center"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horizontal="left" vertical="center" wrapText="1"/>
    </xf>
    <xf numFmtId="0" fontId="5" fillId="0" borderId="1" applyAlignment="1" pivotButton="0" quotePrefix="0" xfId="0">
      <alignment horizontal="left" vertical="center" wrapText="1"/>
    </xf>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3" fontId="1" fillId="0" borderId="0" applyAlignment="1" pivotButton="0" quotePrefix="0" xfId="0">
      <alignment horizontal="center" vertical="center" wrapText="1"/>
    </xf>
    <xf numFmtId="3" fontId="1" fillId="0" borderId="4" applyAlignment="1" pivotButton="0" quotePrefix="0" xfId="0">
      <alignment horizontal="center" vertical="center" wrapText="1"/>
    </xf>
    <xf numFmtId="166" fontId="1" fillId="0" borderId="1" applyAlignment="1" pivotButton="0" quotePrefix="0" xfId="0">
      <alignment horizontal="left" vertical="center" wrapText="1"/>
    </xf>
    <xf numFmtId="166" fontId="1" fillId="0" borderId="2" applyAlignment="1" pivotButton="0" quotePrefix="0" xfId="0">
      <alignment horizontal="left" vertical="center" wrapText="1"/>
    </xf>
    <xf numFmtId="166" fontId="1" fillId="0" borderId="3" applyAlignment="1" pivotButton="0" quotePrefix="0" xfId="0">
      <alignment horizontal="left" vertical="center" wrapText="1"/>
    </xf>
    <xf numFmtId="166" fontId="1" fillId="0" borderId="4" applyAlignment="1" pivotButton="0" quotePrefix="0" xfId="0">
      <alignment horizontal="center" vertical="center" wrapText="1"/>
    </xf>
    <xf numFmtId="1" fontId="1" fillId="0" borderId="1" applyAlignment="1" pivotButton="0" quotePrefix="0" xfId="0">
      <alignment horizontal="left" vertical="center" wrapText="1"/>
    </xf>
    <xf numFmtId="1" fontId="1" fillId="0" borderId="2" applyAlignment="1" pivotButton="0" quotePrefix="0" xfId="0">
      <alignment horizontal="left" vertical="center" wrapText="1"/>
    </xf>
    <xf numFmtId="1" fontId="1" fillId="0" borderId="3" applyAlignment="1" pivotButton="0" quotePrefix="0" xfId="0">
      <alignment horizontal="left" vertical="center" wrapText="1"/>
    </xf>
    <xf numFmtId="167" fontId="1" fillId="0" borderId="1" applyAlignment="1" pivotButton="0" quotePrefix="0" xfId="0">
      <alignment horizontal="left" vertical="center" wrapText="1"/>
    </xf>
    <xf numFmtId="167" fontId="1" fillId="0" borderId="2" applyAlignment="1" pivotButton="0" quotePrefix="0" xfId="0">
      <alignment horizontal="left" vertical="center" wrapText="1"/>
    </xf>
    <xf numFmtId="167" fontId="1" fillId="0" borderId="3" applyAlignment="1" pivotButton="0" quotePrefix="0" xfId="0">
      <alignment horizontal="left" vertical="center" wrapText="1"/>
    </xf>
    <xf numFmtId="168" fontId="1" fillId="0" borderId="4" applyAlignment="1" pivotButton="0" quotePrefix="0" xfId="0">
      <alignment horizontal="center" vertical="center" wrapText="1"/>
    </xf>
    <xf numFmtId="0" fontId="7" fillId="2" borderId="0" applyAlignment="1" pivotButton="0" quotePrefix="0" xfId="0">
      <alignment vertical="top" wrapText="1"/>
    </xf>
    <xf numFmtId="0" fontId="8" fillId="0" borderId="0" applyAlignment="1" pivotButton="0" quotePrefix="0" xfId="0">
      <alignment vertical="top" wrapText="1"/>
    </xf>
    <xf numFmtId="0" fontId="6" fillId="0" borderId="0" applyAlignment="1" pivotButton="0" quotePrefix="0" xfId="0">
      <alignment vertical="top" wrapText="1"/>
    </xf>
    <xf numFmtId="0" fontId="9" fillId="3" borderId="0" applyAlignment="1" pivotButton="0" quotePrefix="0" xfId="0">
      <alignment vertical="top" wrapText="1"/>
    </xf>
    <xf numFmtId="0" fontId="0" fillId="0" borderId="2" pivotButton="0" quotePrefix="0" xfId="0"/>
    <xf numFmtId="0" fontId="0" fillId="0" borderId="3" pivotButton="0" quotePrefix="0" xfId="0"/>
    <xf numFmtId="1" fontId="2" fillId="0" borderId="4"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6.xml.rels><Relationships xmlns="http://schemas.openxmlformats.org/package/2006/relationships"><Relationship Type="http://schemas.openxmlformats.org/officeDocument/2006/relationships/image" Target="/xl/media/image7.png" Id="rId1" /></Relationships>
</file>

<file path=xl/drawings/_rels/drawing7.xml.rels><Relationships xmlns="http://schemas.openxmlformats.org/package/2006/relationships"><Relationship Type="http://schemas.openxmlformats.org/officeDocument/2006/relationships/image" Target="/xl/media/image8.png" Id="rId1" /></Relationships>
</file>

<file path=xl/drawings/_rels/drawing8.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s>
</file>

<file path=xl/drawings/_rels/drawing9.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8572500" cy="47148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28</row>
      <rowOff>0</rowOff>
    </from>
    <ext cx="8572500" cy="6900862"/>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8572500" cy="47148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26</row>
      <rowOff>0</rowOff>
    </from>
    <ext cx="8572500" cy="61722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27</row>
      <rowOff>0</rowOff>
    </from>
    <ext cx="8572500" cy="3986212"/>
    <pic>
      <nvPicPr>
        <cNvPr id="1" name="Image 1" descr="Picture"/>
        <cNvPicPr/>
      </nvPicPr>
      <blipFill>
        <a:blip cstate="print" r:embed="rId1"/>
        <a:stretch>
          <a:fillRect/>
        </a:stretch>
      </blipFill>
      <spPr>
        <a:prstGeom prst="rect"/>
      </spPr>
    </pic>
    <clientData/>
  </oneCellAnchor>
  <oneCellAnchor>
    <from>
      <col>0</col>
      <colOff>0</colOff>
      <row>95</row>
      <rowOff>0</rowOff>
    </from>
    <ext cx="8572500" cy="7629525"/>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42</row>
      <rowOff>0</rowOff>
    </from>
    <ext cx="8572500" cy="8358187"/>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30</row>
      <rowOff>0</rowOff>
    </from>
    <ext cx="8572500" cy="4714875"/>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33</row>
      <rowOff>0</rowOff>
    </from>
    <ext cx="8572500" cy="3257550"/>
    <pic>
      <nvPicPr>
        <cNvPr id="1" name="Image 1" descr="Picture"/>
        <cNvPicPr/>
      </nvPicPr>
      <blipFill>
        <a:blip cstate="print" r:embed="rId1"/>
        <a:stretch>
          <a:fillRect/>
        </a:stretch>
      </blipFill>
      <spPr>
        <a:prstGeom prst="rect"/>
      </spPr>
    </pic>
    <clientData/>
  </oneCellAnchor>
  <oneCellAnchor>
    <from>
      <col>0</col>
      <colOff>0</colOff>
      <row>54</row>
      <rowOff>0</rowOff>
    </from>
    <ext cx="8572500" cy="4714875"/>
    <pic>
      <nvPicPr>
        <cNvPr id="2" name="Image 2" descr="Picture"/>
        <cNvPicPr/>
      </nvPicPr>
      <blipFill>
        <a:blip cstate="print" r:embed="rId2"/>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36</row>
      <rowOff>0</rowOff>
    </from>
    <ext cx="8572500" cy="3257550"/>
    <pic>
      <nvPicPr>
        <cNvPr id="1" name="Image 1" descr="Picture"/>
        <cNvPicPr/>
      </nvPicPr>
      <blipFill>
        <a:blip cstate="print" r:embed="rId1"/>
        <a:stretch>
          <a:fillRect/>
        </a:stretch>
      </blipFill>
      <spPr>
        <a:prstGeom prst="rect"/>
      </spPr>
    </pic>
    <clientData/>
  </oneCellAnchor>
  <oneCellAnchor>
    <from>
      <col>0</col>
      <colOff>0</colOff>
      <row>57</row>
      <rowOff>0</rowOff>
    </from>
    <ext cx="8572500" cy="6172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sheet1.xml><?xml version="1.0" encoding="utf-8"?>
<s:worksheet xmlns:s="http://schemas.openxmlformats.org/spreadsheetml/2006/main">
  <s:sheetPr>
    <s:outlinePr summaryBelow="1" summaryRight="0"/>
    <s:pageSetUpPr fitToPage="1"/>
  </s:sheetPr>
  <s:dimension ref="A1:D23"/>
  <s:sheetViews>
    <s:sheetView showGridLines="0" workbookViewId="0">
      <s:pane ySplit="8" topLeftCell="A9" activePane="bottomLeft" state="frozen"/>
      <s:selection pane="bottomLeft" activeCell="A1" sqref="A1"/>
    </s:sheetView>
  </s:sheetViews>
  <s:sheetFormatPr baseColWidth="8" defaultRowHeight="15"/>
  <s:cols>
    <s:col width="24" customWidth="1" min="1" max="1"/>
    <s:col width="44" customWidth="1" min="2" max="2"/>
    <s:col width="26" customWidth="1" min="3" max="3"/>
    <s:col width="43" customWidth="1" min="4" max="4"/>
  </s:cols>
  <s:sheetData>
    <s:row r="1"/>
    <s:row r="2" ht="32" customHeight="1">
      <s:c r="A2" s="80" t="inlineStr">
        <s:is>
          <s:t>ESTOQUE INTELIGENTE</s:t>
        </s:is>
      </s:c>
    </s:row>
    <s:row r="3"/>
    <s:row r="4"/>
    <s:row r="5" ht="32" customHeight="1">
      <s:c r="A5" s="81" t="inlineStr">
        <s:is>
          <s:t>Disciplina</s:t>
        </s:is>
      </s:c>
      <s:c r="B5" s="82" t="inlineStr">
        <s:is>
          <s:t>Medição de Software — Análise de Pontos de Função</s:t>
        </s:is>
      </s:c>
    </s:row>
    <s:row r="6"/>
    <s:row r="7"/>
    <s:row r="8" ht="32" customHeight="1">
      <s:c r="A8" s="81" t="inlineStr">
        <s:is>
          <s:t>Integrante</s:t>
        </s:is>
      </s:c>
      <s:c r="B8" s="82" t="inlineStr">
        <s:is>
          <s:t>Arthur Ribeiro</s:t>
        </s:is>
      </s:c>
    </s:row>
    <s:row r="9"/>
    <s:row r="10"/>
    <s:row r="11" ht="32" customHeight="1">
      <s:c r="A11" s="81" t="inlineStr">
        <s:is>
          <s:t>Recorte</s:t>
        </s:is>
      </s:c>
      <s:c r="B11" s="82" t="inlineStr">
        <s:is>
          <s:t>Catalogo e produtos</s:t>
        </s:is>
      </s:c>
    </s:row>
    <s:row r="12"/>
    <s:row r="13"/>
    <s:row r="14" ht="40" customHeight="1">
      <s:c r="A14" s="81" t="inlineStr">
        <s:is>
          <s:t>Conteúdo</s:t>
        </s:is>
      </s:c>
      <s:c r="B14" s="82" t="inlineStr">
        <s:is>
          <s:t>2 ALIs, 2 AIEs, 2 EEs identificadas, 2 SEs derivadas e 2 CEs; protótipos, dados/arquivos, NI/PFB/FA/PFA, esforço, prazo e custo.</s:t>
        </s:is>
      </s:c>
    </s:row>
    <s:row r="15"/>
    <s:row r="16"/>
    <s:row r="17" ht="40" customHeight="1">
      <s:c r="A17" s="81" t="inlineStr">
        <s:is>
          <s:t>Organização</s:t>
        </s:is>
      </s:c>
      <s:c r="B17" s="82" t="inlineStr">
        <s:is>
          <s:t>Documento único em abas. Ordem: contribuição, dados, transações, critérios e estimativas. Todos os protótipos estão incorporados neste arquivo.</s:t>
        </s:is>
      </s:c>
    </s:row>
    <s:row r="18"/>
    <s:row r="19"/>
    <s:row r="20" ht="32" customHeight="1">
      <s:c r="A20" s="81" t="inlineStr">
        <s:is>
          <s:t>Data</s:t>
        </s:is>
      </s:c>
      <s:c r="B20" s="82" t="inlineStr">
        <s:is>
          <s:t>24/10/2026</s:t>
        </s:is>
      </s:c>
    </s:row>
    <s:row r="21"/>
    <s:row r="22"/>
    <s:row r="23" ht="40" customHeight="1">
      <s:c r="A23" s="81" t="inlineStr">
        <s:is>
          <s:t>Autoria a confirmar</s:t>
        </s:is>
      </s:c>
      <s:c r="B23" s="82" t="inlineStr">
        <s:is>
          <s:t>O nome e o recorte foram informados pelo grupo. O integrante deve confirmar a descrição de sua contribuição real na identificação das EEs antes de entregar.</s:t>
        </s:is>
      </s:c>
    </s:row>
  </s:sheetData>
  <s:mergeCells count="8">
    <s:mergeCell ref="B11:D11"/>
    <s:mergeCell ref="B5:D5"/>
    <s:mergeCell ref="B14:D14"/>
    <s:mergeCell ref="B23:D23"/>
    <s:mergeCell ref="B8:D8"/>
    <s:mergeCell ref="B17:D17"/>
    <s:mergeCell ref="A2:D2"/>
    <s:mergeCell ref="B20:D20"/>
  </s:mergeCells>
  <s:printOptions horizontalCentered="1"/>
  <s:pageMargins left="0.75" right="0.75" top="1" bottom="1" header="0.5" footer="0.5"/>
  <s:pageSetup orientation="portrait" paperSize="9" fitToHeight="0" fitToWidth="1"/>
  <s:headerFooter>
    <s:oddHeader/>
    <s:oddFooter>&amp;C&amp;8 Estoque Inteligente · &amp;P / &amp;N</s:oddFooter>
    <s:evenHeader/>
    <s:evenFooter/>
    <s:firstHeader/>
    <s:firstFooter/>
  </s:headerFooter>
</s:worksheet>
</file>

<file path=xl/worksheets/sheet2.xml><?xml version="1.0" encoding="utf-8"?>
<s:worksheet xmlns:s="http://schemas.openxmlformats.org/spreadsheetml/2006/main">
  <s:sheetPr>
    <s:outlinePr summaryBelow="1" summaryRight="0"/>
    <s:pageSetUpPr fitToPage="1"/>
  </s:sheetPr>
  <s:dimension ref="A1:D25"/>
  <s:sheetViews>
    <s:sheetView showGridLines="0" topLeftCell="A23" workbookViewId="0">
      <s:pane ySplit="8" topLeftCell="A9" activePane="bottomLeft" state="frozen"/>
      <s:selection pane="bottomLeft" activeCell="D26" sqref="D26"/>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Medição de Software — Arthur Ribeiro</s:t>
        </s:is>
      </s:c>
    </s:row>
    <s:row r="2" ht="55" customHeight="1">
      <s:c r="A2" s="81" t="inlineStr">
        <s:is>
          <s:t>Responsabilidade</s:t>
        </s:is>
      </s:c>
      <s:c r="B2" s="82" t="inlineStr">
        <s:is>
          <s:t>Catalogo e produtos. Responsável informado pelo grupo. Contribuição efetivamente realizada na identificação das EEs: confirmar com o integrante antes da entrega; não há atribuição retroativa de autoria.</s:t>
        </s:is>
      </s:c>
    </s:row>
    <s:row r="3"/>
    <s:row r="4" ht="30" customHeight="1">
      <s:c r="A4" s="83" t="inlineStr">
        <s:is>
          <s:t>Item</s:t>
        </s:is>
      </s:c>
      <s:c r="B4" s="83" t="inlineStr">
        <s:is>
          <s:t>Função / grupo lógico</s:t>
        </s:is>
      </s:c>
      <s:c r="C4" s="83" t="inlineStr">
        <s:is>
          <s:t>Tipo</s:t>
        </s:is>
      </s:c>
      <s:c r="D4" s="83" t="inlineStr">
        <s:is>
          <s:t>PF</s:t>
        </s:is>
      </s:c>
    </s:row>
    <s:row r="5" ht="35" customHeight="1">
      <s:c r="A5" s="82" t="inlineStr">
        <s:is>
          <s:t>A01</s:t>
        </s:is>
      </s:c>
      <s:c r="B5" s="82" t="inlineStr">
        <s:is>
          <s:t>Modelos de produto</s:t>
        </s:is>
      </s:c>
      <s:c r="C5" s="82" t="inlineStr">
        <s:is>
          <s:t>ALI</s:t>
        </s:is>
      </s:c>
      <s:c r="D5" s="82">
        <s:f>'A01 ALI'!B18</s:f>
        <s:v>7</s:v>
      </s:c>
    </s:row>
    <s:row r="6" ht="35" customHeight="1">
      <s:c r="A6" s="82" t="inlineStr">
        <s:is>
          <s:t>A02</s:t>
        </s:is>
      </s:c>
      <s:c r="B6" s="82" t="inlineStr">
        <s:is>
          <s:t>Produtos</s:t>
        </s:is>
      </s:c>
      <s:c r="C6" s="82" t="inlineStr">
        <s:is>
          <s:t>ALI</s:t>
        </s:is>
      </s:c>
      <s:c r="D6" s="82">
        <s:f>'A02 ALI'!B24</s:f>
        <s:v>7</s:v>
      </s:c>
    </s:row>
    <s:row r="7" ht="35" customHeight="1">
      <s:c r="A7" s="82" t="inlineStr">
        <s:is>
          <s:t>X01</s:t>
        </s:is>
      </s:c>
      <s:c r="B7" s="82" t="inlineStr">
        <s:is>
          <s:t>Fornecedores externos</s:t>
        </s:is>
      </s:c>
      <s:c r="C7" s="82" t="inlineStr">
        <s:is>
          <s:t>AIE</s:t>
        </s:is>
      </s:c>
      <s:c r="D7" s="82">
        <s:f>'X01 AIE'!B18</s:f>
        <s:v>5</s:v>
      </s:c>
    </s:row>
    <s:row r="8" ht="35" customHeight="1">
      <s:c r="A8" s="82" t="inlineStr">
        <s:is>
          <s:t>X02</s:t>
        </s:is>
      </s:c>
      <s:c r="B8" s="82" t="inlineStr">
        <s:is>
          <s:t>Ofertas externas</s:t>
        </s:is>
      </s:c>
      <s:c r="C8" s="82" t="inlineStr">
        <s:is>
          <s:t>AIE</s:t>
        </s:is>
      </s:c>
      <s:c r="D8" s="82">
        <s:f>'X02 AIE'!B22</s:f>
        <s:v>5</s:v>
      </s:c>
    </s:row>
    <s:row r="9" ht="35" customHeight="1">
      <s:c r="A9" s="82" t="inlineStr">
        <s:is>
          <s:t>EE04</s:t>
        </s:is>
      </s:c>
      <s:c r="B9" s="82" t="inlineStr">
        <s:is>
          <s:t>Incluir modelo</s:t>
        </s:is>
      </s:c>
      <s:c r="C9" s="82" t="inlineStr">
        <s:is>
          <s:t>EE</s:t>
        </s:is>
      </s:c>
      <s:c r="D9" s="82">
        <s:f>'Entradas externas'!B23</s:f>
        <s:v>4</s:v>
      </s:c>
    </s:row>
    <s:row r="10" ht="35" customHeight="1">
      <s:c r="A10" s="82" t="inlineStr">
        <s:is>
          <s:t>EE01</s:t>
        </s:is>
      </s:c>
      <s:c r="B10" s="82" t="inlineStr">
        <s:is>
          <s:t>Incluir produto, inclusive grade e saldo inicial</s:t>
        </s:is>
      </s:c>
      <s:c r="C10" s="82" t="inlineStr">
        <s:is>
          <s:t>EE</s:t>
        </s:is>
      </s:c>
      <s:c r="D10" s="82">
        <s:f>'Entradas externas'!B91</s:f>
        <s:v>6</s:v>
      </s:c>
    </s:row>
    <s:row r="11" ht="35" customHeight="1">
      <s:c r="A11" s="82" t="inlineStr">
        <s:is>
          <s:t>SE06</s:t>
        </s:is>
      </s:c>
      <s:c r="B11" s="82" t="inlineStr">
        <s:is>
          <s:t>Pesquisar estoque e localizar produto</s:t>
        </s:is>
      </s:c>
      <s:c r="C11" s="82" t="inlineStr">
        <s:is>
          <s:t>SE</s:t>
        </s:is>
      </s:c>
      <s:c r="D11" s="82">
        <s:f>'SE06 SE'!B38</s:f>
        <s:v>7</s:v>
      </s:c>
    </s:row>
    <s:row r="12" ht="35" customHeight="1">
      <s:c r="A12" s="82" t="inlineStr">
        <s:is>
          <s:t>SE02</s:t>
        </s:is>
      </s:c>
      <s:c r="B12" s="82" t="inlineStr">
        <s:is>
          <s:t>Valor potencial do estoque</s:t>
        </s:is>
      </s:c>
      <s:c r="C12" s="82" t="inlineStr">
        <s:is>
          <s:t>SE</s:t>
        </s:is>
      </s:c>
      <s:c r="D12" s="82">
        <s:f>'SE02 SE'!B26</s:f>
        <s:v>5</s:v>
      </s:c>
    </s:row>
    <s:row r="13" ht="35" customHeight="1">
      <s:c r="A13" s="82" t="inlineStr">
        <s:is>
          <s:t>CE04</s:t>
        </s:is>
      </s:c>
      <s:c r="B13" s="82" t="inlineStr">
        <s:is>
          <s:t>Consultar fornecedores externos</s:t>
        </s:is>
      </s:c>
      <s:c r="C13" s="82" t="inlineStr">
        <s:is>
          <s:t>CE</s:t>
        </s:is>
      </s:c>
      <s:c r="D13" s="82">
        <s:f>'CE04 Consulta'!B29</s:f>
        <s:v>3</s:v>
      </s:c>
    </s:row>
    <s:row r="14" ht="35" customHeight="1">
      <s:c r="A14" s="82" t="inlineStr">
        <s:is>
          <s:t>CE12</s:t>
        </s:is>
      </s:c>
      <s:c r="B14" s="82" t="inlineStr">
        <s:is>
          <s:t>Consultar ofertas externas</s:t>
        </s:is>
      </s:c>
      <s:c r="C14" s="82" t="inlineStr">
        <s:is>
          <s:t>CE</s:t>
        </s:is>
      </s:c>
      <s:c r="D14" s="82">
        <s:f>'CE12 Consulta'!B32</s:f>
        <s:v>3</s:v>
      </s:c>
    </s:row>
    <s:row r="15">
      <s:c r="A15" s="82" t="inlineStr">
        <s:is>
          <s:t>PFB individual</s:t>
        </s:is>
      </s:c>
      <s:c r="D15" s="82">
        <s:f>IF(COUNT(D5:D14)=ROWS(D5:D14),SUM(D5:D14),"Dados pendentes")</s:f>
        <s:v>52</s:v>
      </s:c>
    </s:row>
    <s:row r="16"/>
    <s:row r="17"/>
    <s:row r="18">
      <s:c r="A18" s="82" t="inlineStr">
        <s:is>
          <s:t>NI</s:t>
        </s:is>
      </s:c>
      <s:c r="B18" s="82">
        <s:f>'NI e estimativas'!B3</s:f>
        <s:v>41</s:v>
      </s:c>
    </s:row>
    <s:row r="19">
      <s:c r="A19" s="82" t="inlineStr">
        <s:is>
          <s:t>FA</s:t>
        </s:is>
      </s:c>
      <s:c r="B19" s="82">
        <s:f>'NI e estimativas'!B4</s:f>
        <s:v>1.06</s:v>
      </s:c>
    </s:row>
    <s:row r="20">
      <s:c r="A20" s="82" t="inlineStr">
        <s:is>
          <s:t>PFA</s:t>
        </s:is>
      </s:c>
      <s:c r="B20" s="82">
        <s:f>'NI e estimativas'!B5</s:f>
        <s:v>55.12</s:v>
      </s:c>
    </s:row>
    <s:row r="21">
      <s:c r="A21" s="82" t="inlineStr">
        <s:is>
          <s:t>Esforço (h)</s:t>
        </s:is>
      </s:c>
      <s:c r="B21" s="82">
        <s:f>'NI e estimativas'!B42</s:f>
        <s:v>551.2</s:v>
      </s:c>
    </s:row>
    <s:row r="22">
      <s:c r="A22" s="82" t="inlineStr">
        <s:is>
          <s:t>Prazo (dias úteis)</s:t>
        </s:is>
      </s:c>
      <s:c r="B22" s="82">
        <s:f>'NI e estimativas'!B45</s:f>
        <s:v>92</s:v>
      </s:c>
    </s:row>
    <s:row r="23">
      <s:c r="A23" s="82" t="inlineStr">
        <s:is>
          <s:t>Custo (R$)</s:t>
        </s:is>
      </s:c>
      <s:c r="B23" s="82">
        <s:f>'NI e estimativas'!B49</s:f>
        <s:v>13780.0</s:v>
      </s:c>
    </s:row>
    <s:row r="24"/>
    <s:row r="25" ht="55" customHeight="1">
      <s:c r="A25" s="81" t="inlineStr">
        <s:is>
          <s:t>Escopo</s:t>
        </s:is>
      </s:c>
      <s:c r="B25" s="82" t="inlineStr">
        <s:is>
          <s:t>Recorte acadêmico individual. Arquivos adicionais referenciados entram no AR das transações, mas não são contados novamente como funções de dados atribuídas. Não somar os três recortes como tamanho único do sistema.</s:t>
        </s:is>
      </s:c>
    </s:row>
  </s:sheetData>
  <s:mergeCells count="3">
    <s:mergeCell ref="A1:D1"/>
    <s:mergeCell ref="B25:D25"/>
    <s:mergeCell ref="B2:D2"/>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worksheet>
</file>

<file path=xl/worksheets/sheet3.xml><?xml version="1.0" encoding="utf-8"?>
<s:worksheet xmlns:r="http://schemas.openxmlformats.org/officeDocument/2006/relationships" xmlns:s="http://schemas.openxmlformats.org/spreadsheetml/2006/main">
  <s:sheetPr>
    <s:outlinePr summaryBelow="1" summaryRight="0"/>
    <s:pageSetUpPr fitToPage="1"/>
  </s:sheetPr>
  <s:dimension ref="A1:D20"/>
  <s:sheetViews>
    <s:sheetView showGridLines="0" topLeftCell="A28" workbookViewId="0">
      <s:pane ySplit="8" topLeftCell="A9" activePane="bottomLeft" state="frozen"/>
      <s:selection pane="bottomLeft" activeCell="A1" sqref="A1"/>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A01 — Modelos de produto</s:t>
        </s:is>
      </s:c>
    </s:row>
    <s:row r="2" ht="32" customHeight="1">
      <s:c r="A2" s="81" t="inlineStr">
        <s:is>
          <s:t>Sistema</s:t>
        </s:is>
      </s:c>
      <s:c r="B2" s="82" t="inlineStr">
        <s:is>
          <s:t>Estoque Inteligente · fronteira da aplicação web</s:t>
        </s:is>
      </s:c>
    </s:row>
    <s:row r="3" ht="32" customHeight="1">
      <s:c r="A3" s="81" t="inlineStr">
        <s:is>
          <s:t>Tipo</s:t>
        </s:is>
      </s:c>
      <s:c r="B3" s="82" t="inlineStr">
        <s:is>
          <s:t>ALI — Arquivo Lógico Interno</s:t>
        </s:is>
      </s:c>
    </s:row>
    <s:row r="4" ht="32" customHeight="1">
      <s:c r="A4" s="81" t="inlineStr">
        <s:is>
          <s:t>Justificativa</s:t>
        </s:is>
      </s:c>
      <s:c r="B4" s="82" t="inlineStr">
        <s:is>
          <s:t>Dados de negócio mantidos por operações do estoque.</s:t>
        </s:is>
      </s:c>
    </s:row>
    <s:row r="5" ht="32" customHeight="1">
      <s:c r="A5" s="81" t="inlineStr">
        <s:is>
          <s:t>Origem / requisito</s:t>
        </s:is>
      </s:c>
      <s:c r="B5" s="82" t="inlineStr">
        <s:is>
          <s:t>models · /modelos</s:t>
        </s:is>
      </s:c>
    </s:row>
    <s:row r="6" ht="40" customHeight="1">
      <s:c r="A6" s="81" t="inlineStr">
        <s:is>
          <s:t>Registros lógicos</s:t>
        </s:is>
      </s:c>
      <s:c r="B6" s="82" t="inlineStr">
        <s:is>
          <s:t>Um tipo de registro de negócio, não a quantidade de linhas cadastradas. Identificadores de negócio e contexto da loja seguem a contagem documentada; chaves técnicas de sessão não entram.</s:t>
        </s:is>
      </s:c>
    </s:row>
    <s:row r="7"/>
    <s:row r="8" ht="30" customHeight="1">
      <s:c r="A8" s="83" t="inlineStr">
        <s:is>
          <s:t>Registro lógico</s:t>
        </s:is>
      </s:c>
      <s:c r="B8" s="83" t="inlineStr">
        <s:is>
          <s:t>Item de dado referenciado</s:t>
        </s:is>
      </s:c>
      <s:c r="C8" s="83" t="inlineStr">
        <s:is>
          <s:t>Tipo</s:t>
        </s:is>
      </s:c>
      <s:c r="D8" s="83" t="inlineStr">
        <s:is>
          <s:t>Exemplo / observação</s:t>
        </s:is>
      </s:c>
    </s:row>
    <s:row r="9" ht="35" customHeight="1">
      <s:c r="A9" s="82" t="inlineStr">
        <s:is>
          <s:t>Registro de modelos de produto</s:t>
        </s:is>
      </s:c>
      <s:c r="B9" s="82" t="inlineStr">
        <s:is>
          <s:t>loja</s:t>
        </s:is>
      </s:c>
      <s:c r="C9" s="82" t="inlineStr">
        <s:is>
          <s:t>Texto / identificação</s:t>
        </s:is>
      </s:c>
      <s:c r="D9" s="82" t="inlineStr">
        <s:is>
          <s:t>Loja autenticada (contexto)</s:t>
        </s:is>
      </s:c>
    </s:row>
    <s:row r="10" ht="35" customHeight="1">
      <s:c r="A10" s="82" t="inlineStr">
        <s:is>
          <s:t>Registro de modelos de produto</s:t>
        </s:is>
      </s:c>
      <s:c r="B10" s="82" t="inlineStr">
        <s:is>
          <s:t>código</s:t>
        </s:is>
      </s:c>
      <s:c r="C10" s="82" t="inlineStr">
        <s:is>
          <s:t>Texto / identificação</s:t>
        </s:is>
      </s:c>
      <s:c r="D10" s="82" t="inlineStr">
        <s:is>
          <s:t>1 (identificação)</s:t>
        </s:is>
      </s:c>
    </s:row>
    <s:row r="11" ht="35" customHeight="1">
      <s:c r="A11" s="82" t="inlineStr">
        <s:is>
          <s:t>Registro de modelos de produto</s:t>
        </s:is>
      </s:c>
      <s:c r="B11" s="82" t="inlineStr">
        <s:is>
          <s:t>nome</s:t>
        </s:is>
      </s:c>
      <s:c r="C11" s="82" t="inlineStr">
        <s:is>
          <s:t>Texto / identificação</s:t>
        </s:is>
      </s:c>
      <s:c r="D11" s="82" t="inlineStr">
        <s:is>
          <s:t>Modelo Aurora</s:t>
        </s:is>
      </s:c>
    </s:row>
    <s:row r="12" ht="35" customHeight="1">
      <s:c r="A12" s="82" t="inlineStr">
        <s:is>
          <s:t>Registro de modelos de produto</s:t>
        </s:is>
      </s:c>
      <s:c r="B12" s="82" t="inlineStr">
        <s:is>
          <s:t>marca</s:t>
        </s:is>
      </s:c>
      <s:c r="C12" s="82" t="inlineStr">
        <s:is>
          <s:t>Texto / identificação</s:t>
        </s:is>
      </s:c>
      <s:c r="D12" s="82" t="inlineStr">
        <s:is>
          <s:t>Aurora</s:t>
        </s:is>
      </s:c>
    </s:row>
    <s:row r="13" ht="35" customHeight="1">
      <s:c r="A13" s="82" t="inlineStr">
        <s:is>
          <s:t>Registro de modelos de produto</s:t>
        </s:is>
      </s:c>
      <s:c r="B13" s="82" t="inlineStr">
        <s:is>
          <s:t>categoria</s:t>
        </s:is>
      </s:c>
      <s:c r="C13" s="82" t="inlineStr">
        <s:is>
          <s:t>Texto / identificação</s:t>
        </s:is>
      </s:c>
      <s:c r="D13" s="82" t="inlineStr">
        <s:is>
          <s:t>Calçados</s:t>
        </s:is>
      </s:c>
    </s:row>
    <s:row r="14"/>
    <s:row r="15" ht="32" customHeight="1">
      <s:c r="A15" s="81" t="inlineStr">
        <s:is>
          <s:t>Contagem</s:t>
        </s:is>
      </s:c>
      <s:c r="B15" s="82" t="inlineStr">
        <s:is>
          <s:t>Registros lógicos (RL)</s:t>
        </s:is>
      </s:c>
      <s:c r="C15" s="82">
        <s:f>ROUND(SUMPRODUCT((A9:A13&lt;&gt;"")/COUNTIF(A9:A13,A9:A13&amp;"")),0)</s:f>
        <s:v>1</s:v>
      </s:c>
    </s:row>
    <s:row r="16">
      <s:c r="A16" s="82" t="inlineStr">
        <s:is>
          <s:t>Contagem</s:t>
        </s:is>
      </s:c>
      <s:c r="B16" s="82" t="inlineStr">
        <s:is>
          <s:t>Itens de dados (TD/DER)</s:t>
        </s:is>
      </s:c>
      <s:c r="C16" s="82">
        <s:f>COUNTA(B9:B13)</s:f>
        <s:v>5</s:v>
      </s:c>
    </s:row>
    <s:row r="17">
      <s:c r="A17" s="82" t="inlineStr">
        <s:is>
          <s:t>Complexidade</s:t>
        </s:is>
      </s:c>
      <s:c r="B17" s="82" t="str">
        <s:f>IF(OR(NOT(ISNUMBER(C15)),NOT(ISNUMBER(C16)),C15&lt;=0,C16&lt;=0),"Dados pendentes",IF(C16&lt;=19,IF(C15&lt;=5,"Simples","Moderado"),IF(C16&lt;=50,IF(C15=1,"Simples",IF(C15&lt;=5,"Moderado","Complexo")),IF(C15=1,"Moderado","Complexo"))))</s:f>
        <s:v>Simples</s:v>
      </s:c>
    </s:row>
    <s:row r="18">
      <s:c r="A18" s="82" t="inlineStr">
        <s:is>
          <s:t>Tamanho (PF)</s:t>
        </s:is>
      </s:c>
      <s:c r="B18" s="82">
        <s:f>IF(B17="Simples",7,IF(B17="Moderado",10,IF(B17="Complexo",15,"Dados pendentes")))</s:f>
        <s:v>7</s:v>
      </s:c>
    </s:row>
    <s:row r="19"/>
    <s:row r="20" ht="40" customHeight="1">
      <s:c r="A20" s="81" t="inlineStr">
        <s:is>
          <s:t>Protótipo</s:t>
        </s:is>
      </s:c>
      <s:c r="B20" s="82" t="inlineStr">
        <s:is>
          <s:t>/modelos · campos de loja/identificação podem ser contexto ou somente leitura; senha não é exibida em consultas. Em vínculo, quantidade começa em zero e muda por movimentação.</s:t>
        </s:is>
      </s:c>
    </s:row>
    <s:row r="23" ht="15" customHeight="1"/>
    <s:row r="24" ht="15" customHeight="1"/>
    <s:row r="25" ht="15" customHeight="1"/>
    <s:row r="26" ht="15" customHeight="1"/>
    <s:row r="27" ht="15" customHeight="1"/>
    <s:row r="28" ht="15" customHeight="1"/>
    <s:row r="29" ht="15" customHeight="1"/>
    <s:row r="30" ht="15" customHeight="1"/>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sheetData>
  <s:mergeCells count="7">
    <s:mergeCell ref="A1:D1"/>
    <s:mergeCell ref="B3:D3"/>
    <s:mergeCell ref="B5:D5"/>
    <s:mergeCell ref="B4:D4"/>
    <s:mergeCell ref="B6:D6"/>
    <s:mergeCell ref="B2:D2"/>
    <s:mergeCell ref="B20:D20"/>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21" min="0" max="16383" man="1"/>
  </s:rowBreaks>
  <s:drawing r:id="rId1"/>
</s:worksheet>
</file>

<file path=xl/worksheets/sheet4.xml><?xml version="1.0" encoding="utf-8"?>
<s:worksheet xmlns:r="http://schemas.openxmlformats.org/officeDocument/2006/relationships" xmlns:s="http://schemas.openxmlformats.org/spreadsheetml/2006/main">
  <s:sheetPr>
    <s:outlinePr summaryBelow="1" summaryRight="0"/>
    <s:pageSetUpPr fitToPage="1"/>
  </s:sheetPr>
  <s:dimension ref="A1:D26"/>
  <s:sheetViews>
    <s:sheetView showGridLines="0" workbookViewId="0">
      <s:pane ySplit="8" topLeftCell="A9" activePane="bottomLeft" state="frozen"/>
      <s:selection pane="bottomLeft" activeCell="I20" sqref="I20"/>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A02 — Produtos</s:t>
        </s:is>
      </s:c>
    </s:row>
    <s:row r="2" ht="32" customHeight="1">
      <s:c r="A2" s="81" t="inlineStr">
        <s:is>
          <s:t>Sistema</s:t>
        </s:is>
      </s:c>
      <s:c r="B2" s="82" t="inlineStr">
        <s:is>
          <s:t>Estoque Inteligente · fronteira da aplicação web</s:t>
        </s:is>
      </s:c>
    </s:row>
    <s:row r="3" ht="32" customHeight="1">
      <s:c r="A3" s="81" t="inlineStr">
        <s:is>
          <s:t>Tipo</s:t>
        </s:is>
      </s:c>
      <s:c r="B3" s="82" t="inlineStr">
        <s:is>
          <s:t>ALI — Arquivo Lógico Interno</s:t>
        </s:is>
      </s:c>
    </s:row>
    <s:row r="4" ht="32" customHeight="1">
      <s:c r="A4" s="81" t="inlineStr">
        <s:is>
          <s:t>Justificativa</s:t>
        </s:is>
      </s:c>
      <s:c r="B4" s="82" t="inlineStr">
        <s:is>
          <s:t>Dados de negócio mantidos por operações do estoque.</s:t>
        </s:is>
      </s:c>
    </s:row>
    <s:row r="5" ht="32" customHeight="1">
      <s:c r="A5" s="81" t="inlineStr">
        <s:is>
          <s:t>Origem / requisito</s:t>
        </s:is>
      </s:c>
      <s:c r="B5" s="82" t="inlineStr">
        <s:is>
          <s:t>products · /produtos</s:t>
        </s:is>
      </s:c>
    </s:row>
    <s:row r="6" ht="40" customHeight="1">
      <s:c r="A6" s="81" t="inlineStr">
        <s:is>
          <s:t>Registros lógicos</s:t>
        </s:is>
      </s:c>
      <s:c r="B6" s="82" t="inlineStr">
        <s:is>
          <s:t>Um tipo de registro de negócio, não a quantidade de linhas cadastradas. Identificadores de negócio e contexto da loja seguem a contagem documentada; chaves técnicas de sessão não entram.</s:t>
        </s:is>
      </s:c>
    </s:row>
    <s:row r="7"/>
    <s:row r="8" ht="30" customHeight="1">
      <s:c r="A8" s="83" t="inlineStr">
        <s:is>
          <s:t>Registro lógico</s:t>
        </s:is>
      </s:c>
      <s:c r="B8" s="83" t="inlineStr">
        <s:is>
          <s:t>Item de dado referenciado</s:t>
        </s:is>
      </s:c>
      <s:c r="C8" s="83" t="inlineStr">
        <s:is>
          <s:t>Tipo</s:t>
        </s:is>
      </s:c>
      <s:c r="D8" s="83" t="inlineStr">
        <s:is>
          <s:t>Exemplo / observação</s:t>
        </s:is>
      </s:c>
    </s:row>
    <s:row r="9" ht="35" customHeight="1">
      <s:c r="A9" s="82" t="inlineStr">
        <s:is>
          <s:t>Registro de produtos</s:t>
        </s:is>
      </s:c>
      <s:c r="B9" s="82" t="inlineStr">
        <s:is>
          <s:t>loja</s:t>
        </s:is>
      </s:c>
      <s:c r="C9" s="82" t="inlineStr">
        <s:is>
          <s:t>Texto / identificação</s:t>
        </s:is>
      </s:c>
      <s:c r="D9" s="82" t="inlineStr">
        <s:is>
          <s:t>Loja autenticada (contexto)</s:t>
        </s:is>
      </s:c>
    </s:row>
    <s:row r="10" ht="35" customHeight="1">
      <s:c r="A10" s="82" t="inlineStr">
        <s:is>
          <s:t>Registro de produtos</s:t>
        </s:is>
      </s:c>
      <s:c r="B10" s="82" t="inlineStr">
        <s:is>
          <s:t>código</s:t>
        </s:is>
      </s:c>
      <s:c r="C10" s="82" t="inlineStr">
        <s:is>
          <s:t>Texto / identificação</s:t>
        </s:is>
      </s:c>
      <s:c r="D10" s="82" t="inlineStr">
        <s:is>
          <s:t>1 (identificação)</s:t>
        </s:is>
      </s:c>
    </s:row>
    <s:row r="11" ht="35" customHeight="1">
      <s:c r="A11" s="82" t="inlineStr">
        <s:is>
          <s:t>Registro de produtos</s:t>
        </s:is>
      </s:c>
      <s:c r="B11" s="82" t="inlineStr">
        <s:is>
          <s:t>modelo</s:t>
        </s:is>
      </s:c>
      <s:c r="C11" s="82" t="inlineStr">
        <s:is>
          <s:t>Texto / identificação</s:t>
        </s:is>
      </s:c>
      <s:c r="D11" s="82" t="inlineStr">
        <s:is>
          <s:t>Modelo Aurora</s:t>
        </s:is>
      </s:c>
    </s:row>
    <s:row r="12" ht="35" customHeight="1">
      <s:c r="A12" s="82" t="inlineStr">
        <s:is>
          <s:t>Registro de produtos</s:t>
        </s:is>
      </s:c>
      <s:c r="B12" s="82" t="inlineStr">
        <s:is>
          <s:t>SKU</s:t>
        </s:is>
      </s:c>
      <s:c r="C12" s="82" t="inlineStr">
        <s:is>
          <s:t>Texto / identificação</s:t>
        </s:is>
      </s:c>
      <s:c r="D12" s="82" t="inlineStr">
        <s:is>
          <s:t>CALCADOS-2</s:t>
        </s:is>
      </s:c>
    </s:row>
    <s:row r="13" ht="35" customHeight="1">
      <s:c r="A13" s="82" t="inlineStr">
        <s:is>
          <s:t>Registro de produtos</s:t>
        </s:is>
      </s:c>
      <s:c r="B13" s="82" t="inlineStr">
        <s:is>
          <s:t>código de barras</s:t>
        </s:is>
      </s:c>
      <s:c r="C13" s="82" t="inlineStr">
        <s:is>
          <s:t>Texto / identificação</s:t>
        </s:is>
      </s:c>
      <s:c r="D13" s="82" t="inlineStr">
        <s:is>
          <s:t>789000000001</s:t>
        </s:is>
      </s:c>
    </s:row>
    <s:row r="14" ht="35" customHeight="1">
      <s:c r="A14" s="82" t="inlineStr">
        <s:is>
          <s:t>Registro de produtos</s:t>
        </s:is>
      </s:c>
      <s:c r="B14" s="82" t="inlineStr">
        <s:is>
          <s:t>cor</s:t>
        </s:is>
      </s:c>
      <s:c r="C14" s="82" t="inlineStr">
        <s:is>
          <s:t>Texto / identificação</s:t>
        </s:is>
      </s:c>
      <s:c r="D14" s="82" t="inlineStr">
        <s:is>
          <s:t>Preto</s:t>
        </s:is>
      </s:c>
    </s:row>
    <s:row r="15" ht="35" customHeight="1">
      <s:c r="A15" s="82" t="inlineStr">
        <s:is>
          <s:t>Registro de produtos</s:t>
        </s:is>
      </s:c>
      <s:c r="B15" s="82" t="inlineStr">
        <s:is>
          <s:t>tamanho</s:t>
        </s:is>
      </s:c>
      <s:c r="C15" s="82" t="inlineStr">
        <s:is>
          <s:t>Texto / identificação</s:t>
        </s:is>
      </s:c>
      <s:c r="D15" s="82" t="inlineStr">
        <s:is>
          <s:t>39</s:t>
        </s:is>
      </s:c>
    </s:row>
    <s:row r="16" ht="35" customHeight="1">
      <s:c r="A16" s="82" t="inlineStr">
        <s:is>
          <s:t>Registro de produtos</s:t>
        </s:is>
      </s:c>
      <s:c r="B16" s="82" t="inlineStr">
        <s:is>
          <s:t>unidade</s:t>
        </s:is>
      </s:c>
      <s:c r="C16" s="82" t="inlineStr">
        <s:is>
          <s:t>Texto / identificação</s:t>
        </s:is>
      </s:c>
      <s:c r="D16" s="82" t="inlineStr">
        <s:is>
          <s:t>un</s:t>
        </s:is>
      </s:c>
    </s:row>
    <s:row r="17" ht="35" customHeight="1">
      <s:c r="A17" s="82" t="inlineStr">
        <s:is>
          <s:t>Registro de produtos</s:t>
        </s:is>
      </s:c>
      <s:c r="B17" s="82" t="inlineStr">
        <s:is>
          <s:t>preço</s:t>
        </s:is>
      </s:c>
      <s:c r="C17" s="82" t="inlineStr">
        <s:is>
          <s:t>Decimal</s:t>
        </s:is>
      </s:c>
      <s:c r="D17" s="82" t="inlineStr">
        <s:is>
          <s:t>249,90</s:t>
        </s:is>
      </s:c>
    </s:row>
    <s:row r="18" ht="35" customHeight="1">
      <s:c r="A18" s="82" t="inlineStr">
        <s:is>
          <s:t>Registro de produtos</s:t>
        </s:is>
      </s:c>
      <s:c r="B18" s="82" t="inlineStr">
        <s:is>
          <s:t>características</s:t>
        </s:is>
      </s:c>
      <s:c r="C18" s="82" t="inlineStr">
        <s:is>
          <s:t>Texto / identificação</s:t>
        </s:is>
      </s:c>
      <s:c r="D18" s="82" t="inlineStr">
        <s:is>
          <s:t>Material: tecido</s:t>
        </s:is>
      </s:c>
    </s:row>
    <s:row r="19" ht="35" customHeight="1">
      <s:c r="A19" s="82" t="inlineStr">
        <s:is>
          <s:t>Registro de produtos</s:t>
        </s:is>
      </s:c>
      <s:c r="B19" s="82" t="inlineStr">
        <s:is>
          <s:t>ativo</s:t>
        </s:is>
      </s:c>
      <s:c r="C19" s="82" t="inlineStr">
        <s:is>
          <s:t>Boolean</s:t>
        </s:is>
      </s:c>
      <s:c r="D19" s="82" t="inlineStr">
        <s:is>
          <s:t>Sim</s:t>
        </s:is>
      </s:c>
    </s:row>
    <s:row r="20"/>
    <s:row r="21" ht="32" customHeight="1">
      <s:c r="A21" s="81" t="inlineStr">
        <s:is>
          <s:t>Contagem</s:t>
        </s:is>
      </s:c>
      <s:c r="B21" s="82" t="inlineStr">
        <s:is>
          <s:t>Registros lógicos (RL)</s:t>
        </s:is>
      </s:c>
      <s:c r="C21" s="82">
        <s:f>ROUND(SUMPRODUCT((A9:A19&lt;&gt;"")/COUNTIF(A9:A19,A9:A19&amp;"")),0)</s:f>
        <s:v>1</s:v>
      </s:c>
    </s:row>
    <s:row r="22">
      <s:c r="A22" s="82" t="inlineStr">
        <s:is>
          <s:t>Contagem</s:t>
        </s:is>
      </s:c>
      <s:c r="B22" s="82" t="inlineStr">
        <s:is>
          <s:t>Itens de dados (TD/DER)</s:t>
        </s:is>
      </s:c>
      <s:c r="C22" s="82">
        <s:f>COUNTA(B9:B19)</s:f>
        <s:v>11</s:v>
      </s:c>
    </s:row>
    <s:row r="23">
      <s:c r="A23" s="82" t="inlineStr">
        <s:is>
          <s:t>Complexidade</s:t>
        </s:is>
      </s:c>
      <s:c r="B23" s="82" t="str">
        <s:f>IF(OR(NOT(ISNUMBER(C21)),NOT(ISNUMBER(C22)),C21&lt;=0,C22&lt;=0),"Dados pendentes",IF(C22&lt;=19,IF(C21&lt;=5,"Simples","Moderado"),IF(C22&lt;=50,IF(C21=1,"Simples",IF(C21&lt;=5,"Moderado","Complexo")),IF(C21=1,"Moderado","Complexo"))))</s:f>
        <s:v>Simples</s:v>
      </s:c>
    </s:row>
    <s:row r="24">
      <s:c r="A24" s="82" t="inlineStr">
        <s:is>
          <s:t>Tamanho (PF)</s:t>
        </s:is>
      </s:c>
      <s:c r="B24" s="82">
        <s:f>IF(B23="Simples",7,IF(B23="Moderado",10,IF(B23="Complexo",15,"Dados pendentes")))</s:f>
        <s:v>7</s:v>
      </s:c>
    </s:row>
    <s:row r="25"/>
    <s:row r="26" ht="40" customHeight="1">
      <s:c r="A26" s="81" t="inlineStr">
        <s:is>
          <s:t>Protótipo</s:t>
        </s:is>
      </s:c>
      <s:c r="B26" s="82" t="inlineStr">
        <s:is>
          <s:t>/produtos · campos de loja/identificação podem ser contexto ou somente leitura; senha não é exibida em consultas. Em vínculo, quantidade começa em zero e muda por movimentação.</s:t>
        </s:is>
      </s:c>
    </s:row>
    <s:row r="29" ht="15" customHeight="1"/>
    <s:row r="30" ht="15" customHeight="1"/>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4" ht="15" customHeight="1"/>
    <s:row r="55" ht="15" customHeight="1"/>
    <s:row r="56" ht="15" customHeight="1"/>
    <s:row r="57" ht="15" customHeight="1"/>
    <s:row r="58" ht="15" customHeight="1"/>
    <s:row r="59" ht="15" customHeight="1"/>
    <s:row r="60" ht="15" customHeight="1"/>
    <s:row r="61" ht="15" customHeight="1"/>
    <s:row r="62" ht="15" customHeight="1"/>
    <s:row r="63" ht="15" customHeight="1"/>
    <s:row r="64" ht="15" customHeight="1"/>
    <s:row r="65" ht="15" customHeight="1"/>
    <s:row r="66" ht="15" customHeight="1"/>
    <s:row r="67" ht="15" customHeight="1"/>
  </s:sheetData>
  <s:mergeCells count="7">
    <s:mergeCell ref="A1:D1"/>
    <s:mergeCell ref="B3:D3"/>
    <s:mergeCell ref="B5:D5"/>
    <s:mergeCell ref="B6:D6"/>
    <s:mergeCell ref="B4:D4"/>
    <s:mergeCell ref="B26:D26"/>
    <s:mergeCell ref="B2:D2"/>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27" min="0" max="16383" man="1"/>
  </s:rowBreaks>
  <s:drawing r:id="rId1"/>
</s:worksheet>
</file>

<file path=xl/worksheets/sheet5.xml><?xml version="1.0" encoding="utf-8"?>
<s:worksheet xmlns:r="http://schemas.openxmlformats.org/officeDocument/2006/relationships" xmlns:s="http://schemas.openxmlformats.org/spreadsheetml/2006/main">
  <s:sheetPr>
    <s:outlinePr summaryBelow="1" summaryRight="0"/>
    <s:pageSetUpPr fitToPage="1"/>
  </s:sheetPr>
  <s:dimension ref="A1:D20"/>
  <s:sheetViews>
    <s:sheetView showGridLines="0" topLeftCell="A10" workbookViewId="0">
      <s:pane ySplit="8" topLeftCell="A9" activePane="bottomLeft" state="frozen"/>
      <s:selection pane="bottomLeft" activeCell="G20" sqref="G20"/>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X01 — Fornecedores externos</s:t>
        </s:is>
      </s:c>
    </s:row>
    <s:row r="2" ht="32" customHeight="1">
      <s:c r="A2" s="81" t="inlineStr">
        <s:is>
          <s:t>Sistema</s:t>
        </s:is>
      </s:c>
      <s:c r="B2" s="82" t="inlineStr">
        <s:is>
          <s:t>Estoque Inteligente · fronteira da aplicação web</s:t>
        </s:is>
      </s:c>
    </s:row>
    <s:row r="3" ht="32" customHeight="1">
      <s:c r="A3" s="81" t="inlineStr">
        <s:is>
          <s:t>Tipo</s:t>
        </s:is>
      </s:c>
      <s:c r="B3" s="82" t="inlineStr">
        <s:is>
          <s:t>AIE — Arquivo de Interface Externa</s:t>
        </s:is>
      </s:c>
    </s:row>
    <s:row r="4" ht="40" customHeight="1">
      <s:c r="A4" s="81" t="inlineStr">
        <s:is>
          <s:t>Justificativa</s:t>
        </s:is>
      </s:c>
      <s:c r="B4" s="82" t="inlineStr">
        <s:is>
          <s:t>Dados mantidos por aplicação externa independente; o estoque apenas consulta. X01 identifica fornecedores; X02 registra ofertas comerciais.</s:t>
        </s:is>
      </s:c>
    </s:row>
    <s:row r="5" ht="32" customHeight="1">
      <s:c r="A5" s="81" t="inlineStr">
        <s:is>
          <s:t>Origem / requisito</s:t>
        </s:is>
      </s:c>
      <s:c r="B5" s="82" t="inlineStr">
        <s:is>
          <s:t>external/fornecedores · /fornecedores</s:t>
        </s:is>
      </s:c>
    </s:row>
    <s:row r="6" ht="40" customHeight="1">
      <s:c r="A6" s="81" t="inlineStr">
        <s:is>
          <s:t>Registros lógicos</s:t>
        </s:is>
      </s:c>
      <s:c r="B6" s="82" t="inlineStr">
        <s:is>
          <s:t>Um tipo de registro de negócio, não a quantidade de linhas cadastradas. Identificadores de negócio e contexto da loja seguem a contagem documentada; chaves técnicas de sessão não entram.</s:t>
        </s:is>
      </s:c>
    </s:row>
    <s:row r="7"/>
    <s:row r="8" ht="30" customHeight="1">
      <s:c r="A8" s="83" t="inlineStr">
        <s:is>
          <s:t>Registro lógico</s:t>
        </s:is>
      </s:c>
      <s:c r="B8" s="83" t="inlineStr">
        <s:is>
          <s:t>Item de dado referenciado</s:t>
        </s:is>
      </s:c>
      <s:c r="C8" s="83" t="inlineStr">
        <s:is>
          <s:t>Tipo</s:t>
        </s:is>
      </s:c>
      <s:c r="D8" s="83" t="inlineStr">
        <s:is>
          <s:t>Exemplo / observação</s:t>
        </s:is>
      </s:c>
    </s:row>
    <s:row r="9" ht="35" customHeight="1">
      <s:c r="A9" s="82" t="inlineStr">
        <s:is>
          <s:t>Registro de fornecedores externos</s:t>
        </s:is>
      </s:c>
      <s:c r="B9" s="82" t="inlineStr">
        <s:is>
          <s:t>código</s:t>
        </s:is>
      </s:c>
      <s:c r="C9" s="82" t="inlineStr">
        <s:is>
          <s:t>Texto / identificação</s:t>
        </s:is>
      </s:c>
      <s:c r="D9" s="82" t="inlineStr">
        <s:is>
          <s:t>1 (identificação)</s:t>
        </s:is>
      </s:c>
    </s:row>
    <s:row r="10" ht="35" customHeight="1">
      <s:c r="A10" s="82" t="inlineStr">
        <s:is>
          <s:t>Registro de fornecedores externos</s:t>
        </s:is>
      </s:c>
      <s:c r="B10" s="82" t="inlineStr">
        <s:is>
          <s:t>nome</s:t>
        </s:is>
      </s:c>
      <s:c r="C10" s="82" t="inlineStr">
        <s:is>
          <s:t>Texto / identificação</s:t>
        </s:is>
      </s:c>
      <s:c r="D10" s="82" t="inlineStr">
        <s:is>
          <s:t>Modelo Aurora</s:t>
        </s:is>
      </s:c>
    </s:row>
    <s:row r="11" ht="35" customHeight="1">
      <s:c r="A11" s="82" t="inlineStr">
        <s:is>
          <s:t>Registro de fornecedores externos</s:t>
        </s:is>
      </s:c>
      <s:c r="B11" s="82" t="inlineStr">
        <s:is>
          <s:t>documento</s:t>
        </s:is>
      </s:c>
      <s:c r="C11" s="82" t="inlineStr">
        <s:is>
          <s:t>Texto / identificação</s:t>
        </s:is>
      </s:c>
      <s:c r="D11" s="82" t="inlineStr">
        <s:is>
          <s:t>DEMO-001</s:t>
        </s:is>
      </s:c>
    </s:row>
    <s:row r="12" ht="35" customHeight="1">
      <s:c r="A12" s="82" t="inlineStr">
        <s:is>
          <s:t>Registro de fornecedores externos</s:t>
        </s:is>
      </s:c>
      <s:c r="B12" s="82" t="inlineStr">
        <s:is>
          <s:t>e-mail</s:t>
        </s:is>
      </s:c>
      <s:c r="C12" s="82" t="inlineStr">
        <s:is>
          <s:t>Texto / identificação</s:t>
        </s:is>
      </s:c>
      <s:c r="D12" s="82" t="inlineStr">
        <s:is>
          <s:t>contato@example.org</s:t>
        </s:is>
      </s:c>
    </s:row>
    <s:row r="13" ht="35" customHeight="1">
      <s:c r="A13" s="82" t="inlineStr">
        <s:is>
          <s:t>Registro de fornecedores externos</s:t>
        </s:is>
      </s:c>
      <s:c r="B13" s="82" t="inlineStr">
        <s:is>
          <s:t>telefone</s:t>
        </s:is>
      </s:c>
      <s:c r="C13" s="82" t="inlineStr">
        <s:is>
          <s:t>Texto / identificação</s:t>
        </s:is>
      </s:c>
      <s:c r="D13" s="82" t="inlineStr">
        <s:is>
          <s:t>41-0000-0001</s:t>
        </s:is>
      </s:c>
    </s:row>
    <s:row r="14"/>
    <s:row r="15" ht="32" customHeight="1">
      <s:c r="A15" s="81" t="inlineStr">
        <s:is>
          <s:t>Contagem</s:t>
        </s:is>
      </s:c>
      <s:c r="B15" s="82" t="inlineStr">
        <s:is>
          <s:t>Registros lógicos (RL)</s:t>
        </s:is>
      </s:c>
      <s:c r="C15" s="82">
        <s:f>ROUND(SUMPRODUCT((A9:A13&lt;&gt;"")/COUNTIF(A9:A13,A9:A13&amp;"")),0)</s:f>
        <s:v>1</s:v>
      </s:c>
    </s:row>
    <s:row r="16">
      <s:c r="A16" s="82" t="inlineStr">
        <s:is>
          <s:t>Contagem</s:t>
        </s:is>
      </s:c>
      <s:c r="B16" s="82" t="inlineStr">
        <s:is>
          <s:t>Itens de dados (TD/DER)</s:t>
        </s:is>
      </s:c>
      <s:c r="C16" s="82">
        <s:f>COUNTA(B9:B13)</s:f>
        <s:v>5</s:v>
      </s:c>
    </s:row>
    <s:row r="17">
      <s:c r="A17" s="82" t="inlineStr">
        <s:is>
          <s:t>Complexidade</s:t>
        </s:is>
      </s:c>
      <s:c r="B17" s="82" t="str">
        <s:f>IF(OR(NOT(ISNUMBER(C15)),NOT(ISNUMBER(C16)),C15&lt;=0,C16&lt;=0),"Dados pendentes",IF(C16&lt;=19,IF(C15&lt;=5,"Simples","Moderado"),IF(C16&lt;=50,IF(C15=1,"Simples",IF(C15&lt;=5,"Moderado","Complexo")),IF(C15=1,"Moderado","Complexo"))))</s:f>
        <s:v>Simples</s:v>
      </s:c>
    </s:row>
    <s:row r="18">
      <s:c r="A18" s="82" t="inlineStr">
        <s:is>
          <s:t>Tamanho (PF)</s:t>
        </s:is>
      </s:c>
      <s:c r="B18" s="82">
        <s:f>IF(B17="Simples",5,IF(B17="Moderado",7,IF(B17="Complexo",10,"Dados pendentes")))</s:f>
        <s:v>5</s:v>
      </s:c>
    </s:row>
    <s:row r="19"/>
    <s:row r="20" ht="40" customHeight="1">
      <s:c r="A20" s="81" t="inlineStr">
        <s:is>
          <s:t>Protótipo</s:t>
        </s:is>
      </s:c>
      <s:c r="B20" s="82" t="inlineStr">
        <s:is>
          <s:t>/fornecedores · campos de loja/identificação podem ser contexto ou somente leitura; senha não é exibida em consultas. Em vínculo, quantidade começa em zero e muda por movimentação.</s:t>
        </s:is>
      </s:c>
    </s:row>
    <s:row r="23" ht="15" customHeight="1"/>
    <s:row r="24" ht="15" customHeight="1"/>
    <s:row r="25" ht="15" customHeight="1"/>
    <s:row r="26" ht="15" customHeight="1"/>
    <s:row r="27" ht="15" customHeight="1"/>
    <s:row r="28" ht="15" customHeight="1"/>
    <s:row r="29" ht="15" customHeight="1"/>
    <s:row r="30" ht="15" customHeight="1"/>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sheetData>
  <s:mergeCells count="7">
    <s:mergeCell ref="A1:D1"/>
    <s:mergeCell ref="B5:D5"/>
    <s:mergeCell ref="B3:D3"/>
    <s:mergeCell ref="B4:D4"/>
    <s:mergeCell ref="B2:D2"/>
    <s:mergeCell ref="B6:D6"/>
    <s:mergeCell ref="B20:D20"/>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21" min="0" max="16383" man="1"/>
  </s:rowBreaks>
  <s:drawing r:id="rId1"/>
</s:worksheet>
</file>

<file path=xl/worksheets/sheet6.xml><?xml version="1.0" encoding="utf-8"?>
<s:worksheet xmlns:r="http://schemas.openxmlformats.org/officeDocument/2006/relationships" xmlns:s="http://schemas.openxmlformats.org/spreadsheetml/2006/main">
  <s:sheetPr>
    <s:outlinePr summaryBelow="1" summaryRight="0"/>
    <s:pageSetUpPr fitToPage="1"/>
  </s:sheetPr>
  <s:dimension ref="A1:D24"/>
  <s:sheetViews>
    <s:sheetView showGridLines="0" workbookViewId="0">
      <s:pane ySplit="8" topLeftCell="A9" activePane="bottomLeft" state="frozen"/>
      <s:selection pane="bottomLeft" activeCell="I21" sqref="I21"/>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X02 — Ofertas externas</s:t>
        </s:is>
      </s:c>
    </s:row>
    <s:row r="2" ht="32" customHeight="1">
      <s:c r="A2" s="81" t="inlineStr">
        <s:is>
          <s:t>Sistema</s:t>
        </s:is>
      </s:c>
      <s:c r="B2" s="82" t="inlineStr">
        <s:is>
          <s:t>Estoque Inteligente · fronteira da aplicação web</s:t>
        </s:is>
      </s:c>
    </s:row>
    <s:row r="3" ht="32" customHeight="1">
      <s:c r="A3" s="81" t="inlineStr">
        <s:is>
          <s:t>Tipo</s:t>
        </s:is>
      </s:c>
      <s:c r="B3" s="82" t="inlineStr">
        <s:is>
          <s:t>AIE — Arquivo de Interface Externa</s:t>
        </s:is>
      </s:c>
    </s:row>
    <s:row r="4" ht="40" customHeight="1">
      <s:c r="A4" s="81" t="inlineStr">
        <s:is>
          <s:t>Justificativa</s:t>
        </s:is>
      </s:c>
      <s:c r="B4" s="82" t="inlineStr">
        <s:is>
          <s:t>Dados mantidos por aplicação externa independente; o estoque apenas consulta. X01 identifica fornecedores; X02 registra ofertas comerciais.</s:t>
        </s:is>
      </s:c>
    </s:row>
    <s:row r="5" ht="32" customHeight="1">
      <s:c r="A5" s="81" t="inlineStr">
        <s:is>
          <s:t>Origem / requisito</s:t>
        </s:is>
      </s:c>
      <s:c r="B5" s="82" t="inlineStr">
        <s:is>
          <s:t>external/ofertas · /ofertas</s:t>
        </s:is>
      </s:c>
    </s:row>
    <s:row r="6" ht="40" customHeight="1">
      <s:c r="A6" s="81" t="inlineStr">
        <s:is>
          <s:t>Registros lógicos</s:t>
        </s:is>
      </s:c>
      <s:c r="B6" s="82" t="inlineStr">
        <s:is>
          <s:t>Um tipo de registro de negócio, não a quantidade de linhas cadastradas. Identificadores de negócio e contexto da loja seguem a contagem documentada; chaves técnicas de sessão não entram.</s:t>
        </s:is>
      </s:c>
    </s:row>
    <s:row r="7"/>
    <s:row r="8" ht="30" customHeight="1">
      <s:c r="A8" s="83" t="inlineStr">
        <s:is>
          <s:t>Registro lógico</s:t>
        </s:is>
      </s:c>
      <s:c r="B8" s="83" t="inlineStr">
        <s:is>
          <s:t>Item de dado referenciado</s:t>
        </s:is>
      </s:c>
      <s:c r="C8" s="83" t="inlineStr">
        <s:is>
          <s:t>Tipo</s:t>
        </s:is>
      </s:c>
      <s:c r="D8" s="83" t="inlineStr">
        <s:is>
          <s:t>Exemplo / observação</s:t>
        </s:is>
      </s:c>
    </s:row>
    <s:row r="9" ht="35" customHeight="1">
      <s:c r="A9" s="82" t="inlineStr">
        <s:is>
          <s:t>Oferta comercial externa</s:t>
        </s:is>
      </s:c>
      <s:c r="B9" s="82" t="inlineStr">
        <s:is>
          <s:t>GTIN</s:t>
        </s:is>
      </s:c>
      <s:c r="C9" s="82" t="inlineStr">
        <s:is>
          <s:t>Texto / identificação</s:t>
        </s:is>
      </s:c>
      <s:c r="D9" s="82" t="inlineStr">
        <s:is>
          <s:t>789000000001</s:t>
        </s:is>
      </s:c>
    </s:row>
    <s:row r="10" ht="35" customHeight="1">
      <s:c r="A10" s="82" t="inlineStr">
        <s:is>
          <s:t>Oferta comercial externa</s:t>
        </s:is>
      </s:c>
      <s:c r="B10" s="82" t="inlineStr">
        <s:is>
          <s:t>código do fornecedor</s:t>
        </s:is>
      </s:c>
      <s:c r="C10" s="82" t="inlineStr">
        <s:is>
          <s:t>Texto / identificação</s:t>
        </s:is>
      </s:c>
      <s:c r="D10" s="82" t="inlineStr">
        <s:is>
          <s:t>F001</s:t>
        </s:is>
      </s:c>
    </s:row>
    <s:row r="11" ht="35" customHeight="1">
      <s:c r="A11" s="82" t="inlineStr">
        <s:is>
          <s:t>Oferta comercial externa</s:t>
        </s:is>
      </s:c>
      <s:c r="B11" s="82" t="inlineStr">
        <s:is>
          <s:t>SKU externo</s:t>
        </s:is>
      </s:c>
      <s:c r="C11" s="82" t="inlineStr">
        <s:is>
          <s:t>Texto / identificação</s:t>
        </s:is>
      </s:c>
      <s:c r="D11" s="82" t="inlineStr">
        <s:is>
          <s:t>EXT-001</s:t>
        </s:is>
      </s:c>
    </s:row>
    <s:row r="12" ht="35" customHeight="1">
      <s:c r="A12" s="82" t="inlineStr">
        <s:is>
          <s:t>Oferta comercial externa</s:t>
        </s:is>
      </s:c>
      <s:c r="B12" s="82" t="inlineStr">
        <s:is>
          <s:t>descrição</s:t>
        </s:is>
      </s:c>
      <s:c r="C12" s="82" t="inlineStr">
        <s:is>
          <s:t>Texto / identificação</s:t>
        </s:is>
      </s:c>
      <s:c r="D12" s="82" t="inlineStr">
        <s:is>
          <s:t>Produto demonstrativo 1</s:t>
        </s:is>
      </s:c>
    </s:row>
    <s:row r="13" ht="35" customHeight="1">
      <s:c r="A13" s="82" t="inlineStr">
        <s:is>
          <s:t>Oferta comercial externa</s:t>
        </s:is>
      </s:c>
      <s:c r="B13" s="82" t="inlineStr">
        <s:is>
          <s:t>marca</s:t>
        </s:is>
      </s:c>
      <s:c r="C13" s="82" t="inlineStr">
        <s:is>
          <s:t>Texto / identificação</s:t>
        </s:is>
      </s:c>
      <s:c r="D13" s="82" t="inlineStr">
        <s:is>
          <s:t>Aurora</s:t>
        </s:is>
      </s:c>
    </s:row>
    <s:row r="14" ht="35" customHeight="1">
      <s:c r="A14" s="82" t="inlineStr">
        <s:is>
          <s:t>Oferta comercial externa</s:t>
        </s:is>
      </s:c>
      <s:c r="B14" s="82" t="inlineStr">
        <s:is>
          <s:t>unidade</s:t>
        </s:is>
      </s:c>
      <s:c r="C14" s="82" t="inlineStr">
        <s:is>
          <s:t>Texto / identificação</s:t>
        </s:is>
      </s:c>
      <s:c r="D14" s="82" t="inlineStr">
        <s:is>
          <s:t>un</s:t>
        </s:is>
      </s:c>
    </s:row>
    <s:row r="15" ht="35" customHeight="1">
      <s:c r="A15" s="82" t="inlineStr">
        <s:is>
          <s:t>Oferta comercial externa</s:t>
        </s:is>
      </s:c>
      <s:c r="B15" s="82" t="inlineStr">
        <s:is>
          <s:t>preço cotado</s:t>
        </s:is>
      </s:c>
      <s:c r="C15" s="82" t="inlineStr">
        <s:is>
          <s:t>Decimal</s:t>
        </s:is>
      </s:c>
      <s:c r="D15" s="82" t="inlineStr">
        <s:is>
          <s:t>89,90</s:t>
        </s:is>
      </s:c>
    </s:row>
    <s:row r="16" ht="35" customHeight="1">
      <s:c r="A16" s="82" t="inlineStr">
        <s:is>
          <s:t>Oferta comercial externa</s:t>
        </s:is>
      </s:c>
      <s:c r="B16" s="82" t="inlineStr">
        <s:is>
          <s:t>disponibilidade</s:t>
        </s:is>
      </s:c>
      <s:c r="C16" s="82" t="inlineStr">
        <s:is>
          <s:t>Decimal</s:t>
        </s:is>
      </s:c>
      <s:c r="D16" s="82" t="inlineStr">
        <s:is>
          <s:t>20</s:t>
        </s:is>
      </s:c>
    </s:row>
    <s:row r="17" ht="35" customHeight="1">
      <s:c r="A17" s="82" t="inlineStr">
        <s:is>
          <s:t>Oferta comercial externa</s:t>
        </s:is>
      </s:c>
      <s:c r="B17" s="82" t="inlineStr">
        <s:is>
          <s:t>data de atualização</s:t>
        </s:is>
      </s:c>
      <s:c r="C17" s="82" t="inlineStr">
        <s:is>
          <s:t>Texto / identificação</s:t>
        </s:is>
      </s:c>
      <s:c r="D17" s="82" t="inlineStr">
        <s:is>
          <s:t>2026-10-24</s:t>
        </s:is>
      </s:c>
    </s:row>
    <s:row r="18"/>
    <s:row r="19" ht="32" customHeight="1">
      <s:c r="A19" s="81" t="inlineStr">
        <s:is>
          <s:t>Contagem</s:t>
        </s:is>
      </s:c>
      <s:c r="B19" s="82" t="inlineStr">
        <s:is>
          <s:t>Registros lógicos (RL)</s:t>
        </s:is>
      </s:c>
      <s:c r="C19" s="82">
        <s:f>ROUND(SUMPRODUCT((A9:A17&lt;&gt;"")/COUNTIF(A9:A17,A9:A17&amp;"")),0)</s:f>
        <s:v>1</s:v>
      </s:c>
    </s:row>
    <s:row r="20">
      <s:c r="A20" s="82" t="inlineStr">
        <s:is>
          <s:t>Contagem</s:t>
        </s:is>
      </s:c>
      <s:c r="B20" s="82" t="inlineStr">
        <s:is>
          <s:t>Itens de dados (TD/DER)</s:t>
        </s:is>
      </s:c>
      <s:c r="C20" s="82">
        <s:f>COUNTA(B9:B17)</s:f>
        <s:v>9</s:v>
      </s:c>
    </s:row>
    <s:row r="21">
      <s:c r="A21" s="82" t="inlineStr">
        <s:is>
          <s:t>Complexidade</s:t>
        </s:is>
      </s:c>
      <s:c r="B21" s="82" t="str">
        <s:f>IF(OR(NOT(ISNUMBER(C19)),NOT(ISNUMBER(C20)),C19&lt;=0,C20&lt;=0),"Dados pendentes",IF(C20&lt;=19,IF(C19&lt;=5,"Simples","Moderado"),IF(C20&lt;=50,IF(C19=1,"Simples",IF(C19&lt;=5,"Moderado","Complexo")),IF(C19=1,"Moderado","Complexo"))))</s:f>
        <s:v>Simples</s:v>
      </s:c>
    </s:row>
    <s:row r="22">
      <s:c r="A22" s="82" t="inlineStr">
        <s:is>
          <s:t>Tamanho (PF)</s:t>
        </s:is>
      </s:c>
      <s:c r="B22" s="82">
        <s:f>IF(B21="Simples",5,IF(B21="Moderado",7,IF(B21="Complexo",10,"Dados pendentes")))</s:f>
        <s:v>5</s:v>
      </s:c>
    </s:row>
    <s:row r="23"/>
    <s:row r="24" ht="40" customHeight="1">
      <s:c r="A24" s="81" t="inlineStr">
        <s:is>
          <s:t>Protótipo</s:t>
        </s:is>
      </s:c>
      <s:c r="B24" s="82" t="inlineStr">
        <s:is>
          <s:t>/ofertas · campos de loja/identificação podem ser contexto ou somente leitura; senha não é exibida em consultas. Em vínculo, quantidade começa em zero e muda por movimentação.</s:t>
        </s:is>
      </s:c>
    </s:row>
    <s:row r="27" ht="15" customHeight="1"/>
    <s:row r="28" ht="15" customHeight="1"/>
    <s:row r="29" ht="15" customHeight="1"/>
    <s:row r="30" ht="15" customHeight="1"/>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4" ht="15" customHeight="1"/>
    <s:row r="55" ht="15" customHeight="1"/>
    <s:row r="56" ht="15" customHeight="1"/>
    <s:row r="57" ht="15" customHeight="1"/>
    <s:row r="58" ht="15" customHeight="1"/>
    <s:row r="59" ht="15" customHeight="1"/>
    <s:row r="60" ht="15" customHeight="1"/>
    <s:row r="61" ht="15" customHeight="1"/>
  </s:sheetData>
  <s:mergeCells count="7">
    <s:mergeCell ref="A1:D1"/>
    <s:mergeCell ref="B5:D5"/>
    <s:mergeCell ref="B3:D3"/>
    <s:mergeCell ref="B4:D4"/>
    <s:mergeCell ref="B2:D2"/>
    <s:mergeCell ref="B6:D6"/>
    <s:mergeCell ref="B24:D24"/>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25" min="0" max="16383" man="1"/>
  </s:rowBreaks>
  <s:drawing r:id="rId1"/>
</s:worksheet>
</file>

<file path=xl/worksheets/sheet7.xml><?xml version="1.0" encoding="utf-8"?>
<s:worksheet xmlns:r="http://schemas.openxmlformats.org/officeDocument/2006/relationships" xmlns:s="http://schemas.openxmlformats.org/spreadsheetml/2006/main">
  <s:sheetPr>
    <s:outlinePr summaryBelow="1" summaryRight="0"/>
    <s:pageSetUpPr fitToPage="1"/>
  </s:sheetPr>
  <s:dimension ref="A1:D93"/>
  <s:sheetViews>
    <s:sheetView showGridLines="0" topLeftCell="A28" workbookViewId="0">
      <s:pane ySplit="8" topLeftCell="A9" activePane="bottomLeft" state="frozen"/>
      <s:selection pane="bottomLeft" activeCell="A1" sqref="A1"/>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EE04 — Incluir modelo</s:t>
        </s:is>
      </s:c>
    </s:row>
    <s:row r="2" ht="32" customHeight="1">
      <s:c r="A2" s="81" t="inlineStr">
        <s:is>
          <s:t>Tipo e finalidade</s:t>
        </s:is>
      </s:c>
      <s:c r="B2" s="82" t="inlineStr">
        <s:is>
          <s:t>EE · Incluir modelo</s:t>
        </s:is>
      </s:c>
    </s:row>
    <s:row r="3" ht="32" customHeight="1">
      <s:c r="A3" s="81" t="inlineStr">
        <s:is>
          <s:t>Evidência</s:t>
        </s:is>
      </s:c>
      <s:c r="B3" s="82" t="inlineStr">
        <s:is>
          <s:t>ModeloProdutoService.salvar · /modelos</s:t>
        </s:is>
      </s:c>
    </s:row>
    <s:row r="4" ht="55" customHeight="1">
      <s:c r="A4" s="81" t="inlineStr">
        <s:is>
          <s:t>Arquivos e itens</s:t>
        </s:is>
      </s:c>
      <s:c r="B4" s="82" t="inlineStr">
        <s:is>
          <s:t>A01: loja, nome, marca e categoria; identificação do modelo gerada no cadastro. A09: loja, responsável, ação modelo.salvar, detalhe com a identificação do modelo e data gerada. Esses dados de auditoria são mantidos internamente e não são campos extras recebidos pela interface.</s:t>
        </s:is>
      </s:c>
    </s:row>
    <s:row r="5" ht="32" customHeight="1">
      <s:c r="A5" s="81" t="inlineStr">
        <s:is>
          <s:t>Classificação / regra</s:t>
        </s:is>
      </s:c>
      <s:c r="B5" s="82" t="inlineStr">
        <s:is>
          <s:t>Entrada mantém ALIs e registra auditoria; validação antes de persistir.</s:t>
        </s:is>
      </s:c>
    </s:row>
    <s:row r="6" ht="55" customHeight="1">
      <s:c r="A6" s="81" t="inlineStr">
        <s:is>
          <s:t>Contagem</s:t>
        </s:is>
      </s:c>
      <s:c r="B6" s="82" t="inlineStr">
        <s:is>
          <s:t>Um conjunto de comandos e um campo de feedback. Textos alternativos de sucesso/erro não são campos independentes. Dados repetidos contam uma vez. Sessão, CSRF e chave técnica de idempotência excluídos.</s:t>
        </s:is>
      </s:c>
    </s:row>
    <s:row r="7" ht="40" customHeight="1">
      <s:c r="A7" s="81" t="inlineStr">
        <s:is>
          <s:t>Fluxo e exceções</s:t>
        </s:is>
      </s:c>
      <s:c r="B7" s="82" t="inlineStr">
        <s:is>
          <s:t xml:space="preserve">Sem resultados: mensagem de ausência. Erros de entrada são informados; consultas não alteram dados. </s:t>
        </s:is>
      </s:c>
    </s:row>
    <s:row r="8"/>
    <s:row r="9" ht="30" customHeight="1">
      <s:c r="A9" s="83" t="inlineStr">
        <s:is>
          <s:t>Arquivo / origem</s:t>
        </s:is>
      </s:c>
      <s:c r="B9" s="83" t="inlineStr">
        <s:is>
          <s:t>Dado que cruza a fronteira</s:t>
        </s:is>
      </s:c>
      <s:c r="C9" s="83" t="inlineStr">
        <s:is>
          <s:t>Uso no processo</s:t>
        </s:is>
      </s:c>
      <s:c r="D9" s="83" t="inlineStr">
        <s:is>
          <s:t>DER contado</s:t>
        </s:is>
      </s:c>
    </s:row>
    <s:row r="10" ht="32" customHeight="1">
      <s:c r="A10" s="82" t="inlineStr">
        <s:is>
          <s:t>A01, A09</s:t>
        </s:is>
      </s:c>
      <s:c r="B10" s="82" t="inlineStr">
        <s:is>
          <s:t>nome</s:t>
        </s:is>
      </s:c>
      <s:c r="C10" s="82" t="inlineStr">
        <s:is>
          <s:t>Entrada</s:t>
        </s:is>
      </s:c>
      <s:c r="D10" s="82" t="n">
        <s:v>1</s:v>
      </s:c>
    </s:row>
    <s:row r="11" ht="32" customHeight="1">
      <s:c r="A11" s="82" t="inlineStr">
        <s:is>
          <s:t>A01, A09</s:t>
        </s:is>
      </s:c>
      <s:c r="B11" s="82" t="inlineStr">
        <s:is>
          <s:t>marca</s:t>
        </s:is>
      </s:c>
      <s:c r="C11" s="82" t="inlineStr">
        <s:is>
          <s:t>Entrada</s:t>
        </s:is>
      </s:c>
      <s:c r="D11" s="82" t="n">
        <s:v>1</s:v>
      </s:c>
    </s:row>
    <s:row r="12" ht="32" customHeight="1">
      <s:c r="A12" s="82" t="inlineStr">
        <s:is>
          <s:t>A01, A09</s:t>
        </s:is>
      </s:c>
      <s:c r="B12" s="82" t="inlineStr">
        <s:is>
          <s:t>categoria</s:t>
        </s:is>
      </s:c>
      <s:c r="C12" s="82" t="inlineStr">
        <s:is>
          <s:t>Entrada</s:t>
        </s:is>
      </s:c>
      <s:c r="D12" s="82" t="n">
        <s:v>1</s:v>
      </s:c>
    </s:row>
    <s:row r="13" ht="32" customHeight="1">
      <s:c r="A13" s="82" t="inlineStr">
        <s:is>
          <s:t>Interface</s:t>
        </s:is>
      </s:c>
      <s:c r="B13" s="82" t="inlineStr">
        <s:is>
          <s:t>mensagem de resultado</s:t>
        </s:is>
      </s:c>
      <s:c r="C13" s="82" t="inlineStr">
        <s:is>
          <s:t>Saída</s:t>
        </s:is>
      </s:c>
      <s:c r="D13" s="82" t="n">
        <s:v>1</s:v>
      </s:c>
    </s:row>
    <s:row r="14" ht="32" customHeight="1">
      <s:c r="A14" s="82" t="inlineStr">
        <s:is>
          <s:t>Interface</s:t>
        </s:is>
      </s:c>
      <s:c r="B14" s="82" t="inlineStr">
        <s:is>
          <s:t>acionamento</s:t>
        </s:is>
      </s:c>
      <s:c r="C14" s="82" t="inlineStr">
        <s:is>
          <s:t>Controle</s:t>
        </s:is>
      </s:c>
      <s:c r="D14" s="82" t="n">
        <s:v>1</s:v>
      </s:c>
    </s:row>
    <s:row r="15"/>
    <s:row r="16" ht="30" customHeight="1">
      <s:c r="A16" s="83" t="inlineStr">
        <s:is>
          <s:t>Arquivos referenciados</s:t>
        </s:is>
      </s:c>
      <s:c r="B16" s="83" t="inlineStr">
        <s:is>
          <s:t>Grupo lógico</s:t>
        </s:is>
      </s:c>
      <s:c r="C16" s="83" t="inlineStr">
        <s:is>
          <s:t>Uso</s:t>
        </s:is>
      </s:c>
      <s:c r="D16" s="83" t="inlineStr"/>
    </s:row>
    <s:row r="17" ht="32" customHeight="1">
      <s:c r="A17" s="82" t="inlineStr">
        <s:is>
          <s:t>A01</s:t>
        </s:is>
      </s:c>
      <s:c r="B17" s="82" t="inlineStr">
        <s:is>
          <s:t>Modelos de produto</s:t>
        </s:is>
      </s:c>
      <s:c r="C17" s="82" t="inlineStr">
        <s:is>
          <s:t>Ver itens referenciados acima</s:t>
        </s:is>
      </s:c>
    </s:row>
    <s:row r="18" ht="32" customHeight="1">
      <s:c r="A18" s="82" t="inlineStr">
        <s:is>
          <s:t>A09</s:t>
        </s:is>
      </s:c>
      <s:c r="B18" s="82" t="inlineStr">
        <s:is>
          <s:t>Auditoria consultável</s:t>
        </s:is>
      </s:c>
      <s:c r="C18" s="82" t="inlineStr">
        <s:is>
          <s:t>Ver itens referenciados acima</s:t>
        </s:is>
      </s:c>
    </s:row>
    <s:row r="19"/>
    <s:row r="20">
      <s:c r="A20" s="82" t="inlineStr">
        <s:is>
          <s:t>Contagem</s:t>
        </s:is>
      </s:c>
      <s:c r="B20" s="82" t="inlineStr">
        <s:is>
          <s:t>Arquivos referenciados</s:t>
        </s:is>
      </s:c>
      <s:c r="C20" s="82">
        <s:f>COUNTA(A17:A18)</s:f>
        <s:v>2</s:v>
      </s:c>
    </s:row>
    <s:row r="21">
      <s:c r="A21" s="82" t="inlineStr">
        <s:is>
          <s:t>Contagem</s:t>
        </s:is>
      </s:c>
      <s:c r="B21" s="82" t="inlineStr">
        <s:is>
          <s:t>Itens distintos (TD/DER)</s:t>
        </s:is>
      </s:c>
      <s:c r="C21" s="82">
        <s:f>IF(COUNT(D10:D14)&lt;&gt;ROWS(D10:D14),"Dados pendentes",IF(COUNTIF(D10:D14,0)+COUNTIF(D10:D14,1)&lt;&gt;ROWS(D10:D14),"Revisar DER",SUM(D10:D14)))</s:f>
        <s:v>5</s:v>
      </s:c>
    </s:row>
    <s:row r="22">
      <s:c r="A22" s="82" t="inlineStr">
        <s:is>
          <s:t>Complexidade</s:t>
        </s:is>
      </s:c>
      <s:c r="B22" s="82" t="str">
        <s:f>IF(OR(NOT(ISNUMBER(C20)),NOT(ISNUMBER(C21)),C20&lt;=0,C21&lt;=0),"Dados pendentes",IF(C21&lt;=4,IF(C20&lt;=2,"Simples","Moderado"),IF(C21&lt;=15,IF(C20&lt;=1,"Simples",IF(C20=2,"Moderado","Complexo")),IF(C20&lt;=1,"Moderado","Complexo"))))</s:f>
        <s:v>Moderado</s:v>
      </s:c>
    </s:row>
    <s:row r="23">
      <s:c r="A23" s="82" t="inlineStr">
        <s:is>
          <s:t>Tamanho (PF)</s:t>
        </s:is>
      </s:c>
      <s:c r="B23" s="82">
        <s:f>IF(B22="Simples",3,IF(B22="Moderado",4,IF(B22="Complexo",6,"Dados pendentes")))</s:f>
        <s:v>4</s:v>
      </s:c>
    </s:row>
    <s:row r="24"/>
    <s:row r="25" ht="40" customHeight="1">
      <s:c r="A25" s="81" t="inlineStr">
        <s:is>
          <s:t>Protótipo</s:t>
        </s:is>
      </s:c>
      <s:c r="B25" s="82" t="inlineStr">
        <s:is>
          <s:t>Baixa fidelidade baseada na interface implementada. Exemplos ilustrativos; dados de demonstração não comprovam autoria. /modelos</s:t>
        </s:is>
      </s:c>
    </s:row>
    <s:row r="26"/>
    <s:row r="27"/>
    <s:row r="28" ht="15" customHeight="1"/>
    <s:row r="29" ht="15" customHeight="1"/>
    <s:row r="30" ht="15" customHeight="1"/>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s:row r="52"/>
    <s:row r="53"/>
    <s:row r="54" ht="32" customHeight="1">
      <s:c r="A54" s="80" t="inlineStr">
        <s:is>
          <s:t>EE01 — Incluir produto, inclusive grade e saldo inicial</s:t>
        </s:is>
      </s:c>
    </s:row>
    <s:row r="55" ht="32" customHeight="1">
      <s:c r="A55" s="81" t="inlineStr">
        <s:is>
          <s:t>Tipo e finalidade</s:t>
        </s:is>
      </s:c>
      <s:c r="B55" s="82" t="inlineStr">
        <s:is>
          <s:t>EE · Incluir produto, inclusive grade e saldo inicial</s:t>
        </s:is>
      </s:c>
    </s:row>
    <s:row r="56" ht="32" customHeight="1">
      <s:c r="A56" s="81" t="inlineStr">
        <s:is>
          <s:t>Evidência</s:t>
        </s:is>
      </s:c>
      <s:c r="B56" s="82" t="inlineStr">
        <s:is>
          <s:t>ProdutoService.salvar · /produtos</s:t>
        </s:is>
      </s:c>
    </s:row>
    <s:row r="57" ht="100" customHeight="1">
      <s:c r="A57" s="81" t="inlineStr">
        <s:is>
          <s:t>Arquivos e itens</s:t>
        </s:is>
      </s:c>
      <s:c r="B57" s="82" t="inlineStr">
        <s:is>
          <s:t>A01: nome, marca e categoria do modelo. A02: modelo, SKU, código de barras, cor, tamanho, unidade, preço, características e ativo. A03: posição e unidade, na entrada inicial. A04: produto, posição e quantidade inicial. A05: produto, posição, responsável, tipo, variação, saldos anterior/posterior, motivo e data, quando há saldo inicial. A09: loja, responsável, ação, detalhe e data (gerada). Identificações dos registros são geradas pelo banco; leituras/manutenções internas não são TD adicionais da interface.</s:t>
        </s:is>
      </s:c>
    </s:row>
    <s:row r="58" ht="32" customHeight="1">
      <s:c r="A58" s="81" t="inlineStr">
        <s:is>
          <s:t>Classificação / regra</s:t>
        </s:is>
      </s:c>
      <s:c r="B58" s="82" t="inlineStr">
        <s:is>
          <s:t>Entrada mantém ALIs e registra auditoria; validação antes de persistir.</s:t>
        </s:is>
      </s:c>
    </s:row>
    <s:row r="59" ht="55" customHeight="1">
      <s:c r="A59" s="81" t="inlineStr">
        <s:is>
          <s:t>Contagem</s:t>
        </s:is>
      </s:c>
      <s:c r="B59" s="82" t="inlineStr">
        <s:is>
          <s:t>Um conjunto de comandos e um campo de feedback. Textos alternativos de sucesso/erro não são campos independentes. Dados repetidos contam uma vez. Sessão, CSRF e chave técnica de idempotência excluídos.</s:t>
        </s:is>
      </s:c>
    </s:row>
    <s:row r="60" ht="40" customHeight="1">
      <s:c r="A60" s="81" t="inlineStr">
        <s:is>
          <s:t>Fluxo e exceções</s:t>
        </s:is>
      </s:c>
      <s:c r="B60" s="82" t="inlineStr">
        <s:is>
          <s:t xml:space="preserve">Sem resultados: mensagem de ausência. Erros de entrada são informados; consultas não alteram dados. </s:t>
        </s:is>
      </s:c>
    </s:row>
    <s:row r="61"/>
    <s:row r="62" ht="30" customHeight="1">
      <s:c r="A62" s="83" t="inlineStr">
        <s:is>
          <s:t>Arquivo / origem</s:t>
        </s:is>
      </s:c>
      <s:c r="B62" s="83" t="inlineStr">
        <s:is>
          <s:t>Dado que cruza a fronteira</s:t>
        </s:is>
      </s:c>
      <s:c r="C62" s="83" t="inlineStr">
        <s:is>
          <s:t>Uso no processo</s:t>
        </s:is>
      </s:c>
      <s:c r="D62" s="83" t="inlineStr">
        <s:is>
          <s:t>DER contado</s:t>
        </s:is>
      </s:c>
    </s:row>
    <s:row r="63" ht="32" customHeight="1">
      <s:c r="A63" s="82" t="inlineStr">
        <s:is>
          <s:t>A01, A02, A03, A04, A05, A09</s:t>
        </s:is>
      </s:c>
      <s:c r="B63" s="82" t="inlineStr">
        <s:is>
          <s:t>nome</s:t>
        </s:is>
      </s:c>
      <s:c r="C63" s="82" t="inlineStr">
        <s:is>
          <s:t>Entrada</s:t>
        </s:is>
      </s:c>
      <s:c r="D63" s="82" t="n">
        <s:v>1</s:v>
      </s:c>
    </s:row>
    <s:row r="64" ht="32" customHeight="1">
      <s:c r="A64" s="82" t="inlineStr">
        <s:is>
          <s:t>A01, A02, A03, A04, A05, A09</s:t>
        </s:is>
      </s:c>
      <s:c r="B64" s="82" t="inlineStr">
        <s:is>
          <s:t>marca</s:t>
        </s:is>
      </s:c>
      <s:c r="C64" s="82" t="inlineStr">
        <s:is>
          <s:t>Entrada</s:t>
        </s:is>
      </s:c>
      <s:c r="D64" s="82" t="n">
        <s:v>1</s:v>
      </s:c>
    </s:row>
    <s:row r="65" ht="32" customHeight="1">
      <s:c r="A65" s="82" t="inlineStr">
        <s:is>
          <s:t>A01, A02, A03, A04, A05, A09</s:t>
        </s:is>
      </s:c>
      <s:c r="B65" s="82" t="inlineStr">
        <s:is>
          <s:t>categoria</s:t>
        </s:is>
      </s:c>
      <s:c r="C65" s="82" t="inlineStr">
        <s:is>
          <s:t>Entrada</s:t>
        </s:is>
      </s:c>
      <s:c r="D65" s="82" t="n">
        <s:v>1</s:v>
      </s:c>
    </s:row>
    <s:row r="66" ht="32" customHeight="1">
      <s:c r="A66" s="82" t="inlineStr">
        <s:is>
          <s:t>A01, A02, A03, A04, A05, A09</s:t>
        </s:is>
      </s:c>
      <s:c r="B66" s="82" t="inlineStr">
        <s:is>
          <s:t>SKU</s:t>
        </s:is>
      </s:c>
      <s:c r="C66" s="82" t="inlineStr">
        <s:is>
          <s:t>Entrada</s:t>
        </s:is>
      </s:c>
      <s:c r="D66" s="82" t="n">
        <s:v>1</s:v>
      </s:c>
    </s:row>
    <s:row r="67" ht="32" customHeight="1">
      <s:c r="A67" s="82" t="inlineStr">
        <s:is>
          <s:t>A01, A02, A03, A04, A05, A09</s:t>
        </s:is>
      </s:c>
      <s:c r="B67" s="82" t="inlineStr">
        <s:is>
          <s:t>código de barras</s:t>
        </s:is>
      </s:c>
      <s:c r="C67" s="82" t="inlineStr">
        <s:is>
          <s:t>Entrada</s:t>
        </s:is>
      </s:c>
      <s:c r="D67" s="82" t="n">
        <s:v>1</s:v>
      </s:c>
    </s:row>
    <s:row r="68" ht="32" customHeight="1">
      <s:c r="A68" s="82" t="inlineStr">
        <s:is>
          <s:t>A01, A02, A03, A04, A05, A09</s:t>
        </s:is>
      </s:c>
      <s:c r="B68" s="82" t="inlineStr">
        <s:is>
          <s:t>cor</s:t>
        </s:is>
      </s:c>
      <s:c r="C68" s="82" t="inlineStr">
        <s:is>
          <s:t>Entrada</s:t>
        </s:is>
      </s:c>
      <s:c r="D68" s="82" t="n">
        <s:v>1</s:v>
      </s:c>
    </s:row>
    <s:row r="69" ht="32" customHeight="1">
      <s:c r="A69" s="82" t="inlineStr">
        <s:is>
          <s:t>A01, A02, A03, A04, A05, A09</s:t>
        </s:is>
      </s:c>
      <s:c r="B69" s="82" t="inlineStr">
        <s:is>
          <s:t>tamanho</s:t>
        </s:is>
      </s:c>
      <s:c r="C69" s="82" t="inlineStr">
        <s:is>
          <s:t>Entrada</s:t>
        </s:is>
      </s:c>
      <s:c r="D69" s="82" t="n">
        <s:v>1</s:v>
      </s:c>
    </s:row>
    <s:row r="70" ht="32" customHeight="1">
      <s:c r="A70" s="82" t="inlineStr">
        <s:is>
          <s:t>A01, A02, A03, A04, A05, A09</s:t>
        </s:is>
      </s:c>
      <s:c r="B70" s="82" t="inlineStr">
        <s:is>
          <s:t>unidade</s:t>
        </s:is>
      </s:c>
      <s:c r="C70" s="82" t="inlineStr">
        <s:is>
          <s:t>Entrada</s:t>
        </s:is>
      </s:c>
      <s:c r="D70" s="82" t="n">
        <s:v>1</s:v>
      </s:c>
    </s:row>
    <s:row r="71" ht="32" customHeight="1">
      <s:c r="A71" s="82" t="inlineStr">
        <s:is>
          <s:t>A01, A02, A03, A04, A05, A09</s:t>
        </s:is>
      </s:c>
      <s:c r="B71" s="82" t="inlineStr">
        <s:is>
          <s:t>preço</s:t>
        </s:is>
      </s:c>
      <s:c r="C71" s="82" t="inlineStr">
        <s:is>
          <s:t>Entrada</s:t>
        </s:is>
      </s:c>
      <s:c r="D71" s="82" t="n">
        <s:v>1</s:v>
      </s:c>
    </s:row>
    <s:row r="72" ht="32" customHeight="1">
      <s:c r="A72" s="82" t="inlineStr">
        <s:is>
          <s:t>A01, A02, A03, A04, A05, A09</s:t>
        </s:is>
      </s:c>
      <s:c r="B72" s="82" t="inlineStr">
        <s:is>
          <s:t>características</s:t>
        </s:is>
      </s:c>
      <s:c r="C72" s="82" t="inlineStr">
        <s:is>
          <s:t>Entrada</s:t>
        </s:is>
      </s:c>
      <s:c r="D72" s="82" t="n">
        <s:v>1</s:v>
      </s:c>
    </s:row>
    <s:row r="73" ht="32" customHeight="1">
      <s:c r="A73" s="82" t="inlineStr">
        <s:is>
          <s:t>A01, A02, A03, A04, A05, A09</s:t>
        </s:is>
      </s:c>
      <s:c r="B73" s="82" t="inlineStr">
        <s:is>
          <s:t>estrutura</s:t>
        </s:is>
      </s:c>
      <s:c r="C73" s="82" t="inlineStr">
        <s:is>
          <s:t>Entrada</s:t>
        </s:is>
      </s:c>
      <s:c r="D73" s="82" t="n">
        <s:v>1</s:v>
      </s:c>
    </s:row>
    <s:row r="74" ht="32" customHeight="1">
      <s:c r="A74" s="82" t="inlineStr">
        <s:is>
          <s:t>A01, A02, A03, A04, A05, A09</s:t>
        </s:is>
      </s:c>
      <s:c r="B74" s="82" t="inlineStr">
        <s:is>
          <s:t>tamanhos da grade</s:t>
        </s:is>
      </s:c>
      <s:c r="C74" s="82" t="inlineStr">
        <s:is>
          <s:t>Entrada</s:t>
        </s:is>
      </s:c>
      <s:c r="D74" s="82" t="n">
        <s:v>1</s:v>
      </s:c>
    </s:row>
    <s:row r="75" ht="32" customHeight="1">
      <s:c r="A75" s="82" t="inlineStr">
        <s:is>
          <s:t>A01, A02, A03, A04, A05, A09</s:t>
        </s:is>
      </s:c>
      <s:c r="B75" s="82" t="inlineStr">
        <s:is>
          <s:t>posição inicial</s:t>
        </s:is>
      </s:c>
      <s:c r="C75" s="82" t="inlineStr">
        <s:is>
          <s:t>Entrada</s:t>
        </s:is>
      </s:c>
      <s:c r="D75" s="82" t="n">
        <s:v>1</s:v>
      </s:c>
    </s:row>
    <s:row r="76" ht="32" customHeight="1">
      <s:c r="A76" s="82" t="inlineStr">
        <s:is>
          <s:t>A01, A02, A03, A04, A05, A09</s:t>
        </s:is>
      </s:c>
      <s:c r="B76" s="82" t="inlineStr">
        <s:is>
          <s:t>quantidades iniciais</s:t>
        </s:is>
      </s:c>
      <s:c r="C76" s="82" t="inlineStr">
        <s:is>
          <s:t>Entrada</s:t>
        </s:is>
      </s:c>
      <s:c r="D76" s="82" t="n">
        <s:v>1</s:v>
      </s:c>
    </s:row>
    <s:row r="77" ht="32" customHeight="1">
      <s:c r="A77" s="82" t="inlineStr">
        <s:is>
          <s:t>Interface</s:t>
        </s:is>
      </s:c>
      <s:c r="B77" s="82" t="inlineStr">
        <s:is>
          <s:t>mensagem de resultado</s:t>
        </s:is>
      </s:c>
      <s:c r="C77" s="82" t="inlineStr">
        <s:is>
          <s:t>Saída</s:t>
        </s:is>
      </s:c>
      <s:c r="D77" s="82" t="n">
        <s:v>1</s:v>
      </s:c>
    </s:row>
    <s:row r="78" ht="32" customHeight="1">
      <s:c r="A78" s="82" t="inlineStr">
        <s:is>
          <s:t>Interface</s:t>
        </s:is>
      </s:c>
      <s:c r="B78" s="82" t="inlineStr">
        <s:is>
          <s:t>acionamento</s:t>
        </s:is>
      </s:c>
      <s:c r="C78" s="82" t="inlineStr">
        <s:is>
          <s:t>Controle</s:t>
        </s:is>
      </s:c>
      <s:c r="D78" s="82" t="n">
        <s:v>1</s:v>
      </s:c>
    </s:row>
    <s:row r="79"/>
    <s:row r="80" ht="30" customHeight="1">
      <s:c r="A80" s="83" t="inlineStr">
        <s:is>
          <s:t>Arquivos referenciados</s:t>
        </s:is>
      </s:c>
      <s:c r="B80" s="83" t="inlineStr">
        <s:is>
          <s:t>Grupo lógico</s:t>
        </s:is>
      </s:c>
      <s:c r="C80" s="83" t="inlineStr">
        <s:is>
          <s:t>Uso</s:t>
        </s:is>
      </s:c>
      <s:c r="D80" s="83" t="inlineStr"/>
    </s:row>
    <s:row r="81" ht="32" customHeight="1">
      <s:c r="A81" s="82" t="inlineStr">
        <s:is>
          <s:t>A01</s:t>
        </s:is>
      </s:c>
      <s:c r="B81" s="82" t="inlineStr">
        <s:is>
          <s:t>Modelos de produto</s:t>
        </s:is>
      </s:c>
      <s:c r="C81" s="82" t="inlineStr">
        <s:is>
          <s:t>Ver itens referenciados acima</s:t>
        </s:is>
      </s:c>
    </s:row>
    <s:row r="82" ht="32" customHeight="1">
      <s:c r="A82" s="82" t="inlineStr">
        <s:is>
          <s:t>A02</s:t>
        </s:is>
      </s:c>
      <s:c r="B82" s="82" t="inlineStr">
        <s:is>
          <s:t>Produtos</s:t>
        </s:is>
      </s:c>
      <s:c r="C82" s="82" t="inlineStr">
        <s:is>
          <s:t>Ver itens referenciados acima</s:t>
        </s:is>
      </s:c>
    </s:row>
    <s:row r="83" ht="32" customHeight="1">
      <s:c r="A83" s="82" t="inlineStr">
        <s:is>
          <s:t>A03</s:t>
        </s:is>
      </s:c>
      <s:c r="B83" s="82" t="inlineStr">
        <s:is>
          <s:t>Posições</s:t>
        </s:is>
      </s:c>
      <s:c r="C83" s="82" t="inlineStr">
        <s:is>
          <s:t>Ver itens referenciados acima</s:t>
        </s:is>
      </s:c>
    </s:row>
    <s:row r="84" ht="32" customHeight="1">
      <s:c r="A84" s="82" t="inlineStr">
        <s:is>
          <s:t>A04</s:t>
        </s:is>
      </s:c>
      <s:c r="B84" s="82" t="inlineStr">
        <s:is>
          <s:t>Estoque por posição / vínculos</s:t>
        </s:is>
      </s:c>
      <s:c r="C84" s="82" t="inlineStr">
        <s:is>
          <s:t>Ver itens referenciados acima</s:t>
        </s:is>
      </s:c>
    </s:row>
    <s:row r="85" ht="32" customHeight="1">
      <s:c r="A85" s="82" t="inlineStr">
        <s:is>
          <s:t>A05</s:t>
        </s:is>
      </s:c>
      <s:c r="B85" s="82" t="inlineStr">
        <s:is>
          <s:t>Movimentações</s:t>
        </s:is>
      </s:c>
      <s:c r="C85" s="82" t="inlineStr">
        <s:is>
          <s:t>Ver itens referenciados acima</s:t>
        </s:is>
      </s:c>
    </s:row>
    <s:row r="86" ht="32" customHeight="1">
      <s:c r="A86" s="82" t="inlineStr">
        <s:is>
          <s:t>A09</s:t>
        </s:is>
      </s:c>
      <s:c r="B86" s="82" t="inlineStr">
        <s:is>
          <s:t>Auditoria consultável</s:t>
        </s:is>
      </s:c>
      <s:c r="C86" s="82" t="inlineStr">
        <s:is>
          <s:t>Ver itens referenciados acima</s:t>
        </s:is>
      </s:c>
    </s:row>
    <s:row r="87"/>
    <s:row r="88">
      <s:c r="A88" s="82" t="inlineStr">
        <s:is>
          <s:t>Contagem</s:t>
        </s:is>
      </s:c>
      <s:c r="B88" s="82" t="inlineStr">
        <s:is>
          <s:t>Arquivos referenciados</s:t>
        </s:is>
      </s:c>
      <s:c r="C88" s="82">
        <s:f>COUNTA(A81:A86)</s:f>
        <s:v>6</s:v>
      </s:c>
    </s:row>
    <s:row r="89">
      <s:c r="A89" s="82" t="inlineStr">
        <s:is>
          <s:t>Contagem</s:t>
        </s:is>
      </s:c>
      <s:c r="B89" s="82" t="inlineStr">
        <s:is>
          <s:t>Itens distintos (TD/DER)</s:t>
        </s:is>
      </s:c>
      <s:c r="C89" s="82">
        <s:f>IF(COUNT(D63:D78)&lt;&gt;ROWS(D63:D78),"Dados pendentes",IF(COUNTIF(D63:D78,0)+COUNTIF(D63:D78,1)&lt;&gt;ROWS(D63:D78),"Revisar DER",SUM(D63:D78)))</s:f>
        <s:v>16</s:v>
      </s:c>
    </s:row>
    <s:row r="90">
      <s:c r="A90" s="82" t="inlineStr">
        <s:is>
          <s:t>Complexidade</s:t>
        </s:is>
      </s:c>
      <s:c r="B90" s="82" t="str">
        <s:f>IF(OR(NOT(ISNUMBER(C88)),NOT(ISNUMBER(C89)),C88&lt;=0,C89&lt;=0),"Dados pendentes",IF(C89&lt;=4,IF(C88&lt;=2,"Simples","Moderado"),IF(C89&lt;=15,IF(C88&lt;=1,"Simples",IF(C88=2,"Moderado","Complexo")),IF(C88&lt;=1,"Moderado","Complexo"))))</s:f>
        <s:v>Complexo</s:v>
      </s:c>
    </s:row>
    <s:row r="91">
      <s:c r="A91" s="82" t="inlineStr">
        <s:is>
          <s:t>Tamanho (PF)</s:t>
        </s:is>
      </s:c>
      <s:c r="B91" s="82">
        <s:f>IF(B90="Simples",3,IF(B90="Moderado",4,IF(B90="Complexo",6,"Dados pendentes")))</s:f>
        <s:v>6</s:v>
      </s:c>
    </s:row>
    <s:row r="92"/>
    <s:row r="93" ht="40" customHeight="1">
      <s:c r="A93" s="81" t="inlineStr">
        <s:is>
          <s:t>Protótipo</s:t>
        </s:is>
      </s:c>
      <s:c r="B93" s="82" t="inlineStr">
        <s:is>
          <s:t>Baixa fidelidade baseada na interface implementada. Exemplos ilustrativos; dados de demonstração não comprovam autoria. /produtos</s:t>
        </s:is>
      </s:c>
    </s:row>
    <s:row r="96" ht="15" customHeight="1"/>
    <s:row r="97" ht="15" customHeight="1"/>
    <s:row r="98" ht="15" customHeight="1"/>
    <s:row r="99" ht="15" customHeight="1"/>
    <s:row r="100" ht="15" customHeight="1"/>
    <s:row r="101" ht="15" customHeight="1"/>
    <s:row r="102" ht="15" customHeight="1"/>
    <s:row r="103" ht="15" customHeight="1"/>
    <s:row r="104" ht="15" customHeight="1"/>
    <s:row r="105" ht="15" customHeight="1"/>
    <s:row r="106" ht="15" customHeight="1"/>
    <s:row r="107" ht="15" customHeight="1"/>
    <s:row r="108" ht="15" customHeight="1"/>
    <s:row r="109" ht="15" customHeight="1"/>
    <s:row r="110" ht="15" customHeight="1"/>
    <s:row r="111" ht="15" customHeight="1"/>
    <s:row r="112" ht="15" customHeight="1"/>
    <s:row r="113" ht="15" customHeight="1"/>
    <s:row r="114" ht="15" customHeight="1"/>
    <s:row r="115" ht="15" customHeight="1"/>
    <s:row r="116" ht="15" customHeight="1"/>
    <s:row r="117" ht="15" customHeight="1"/>
    <s:row r="118" ht="15" customHeight="1"/>
    <s:row r="119" ht="15" customHeight="1"/>
    <s:row r="120" ht="15" customHeight="1"/>
    <s:row r="121" ht="15" customHeight="1"/>
    <s:row r="122" ht="15" customHeight="1"/>
    <s:row r="123" ht="15" customHeight="1"/>
    <s:row r="124" ht="15" customHeight="1"/>
    <s:row r="125" ht="15" customHeight="1"/>
    <s:row r="126" ht="15" customHeight="1"/>
    <s:row r="127" ht="15" customHeight="1"/>
    <s:row r="128" ht="15" customHeight="1"/>
    <s:row r="129" ht="15" customHeight="1"/>
    <s:row r="130" ht="15" customHeight="1"/>
    <s:row r="131" ht="15" customHeight="1"/>
    <s:row r="132" ht="15" customHeight="1"/>
    <s:row r="133" ht="15" customHeight="1"/>
    <s:row r="134" ht="15" customHeight="1"/>
    <s:row r="135" ht="15" customHeight="1"/>
    <s:row r="136" ht="15" customHeight="1"/>
    <s:row r="137" ht="15" customHeight="1"/>
    <s:row r="138" ht="15" customHeight="1"/>
  </s:sheetData>
  <s:mergeCells count="16">
    <s:mergeCell ref="B60:D60"/>
    <s:mergeCell ref="B57:D57"/>
    <s:mergeCell ref="B2:D2"/>
    <s:mergeCell ref="B55:D55"/>
    <s:mergeCell ref="B6:D6"/>
    <s:mergeCell ref="A1:D1"/>
    <s:mergeCell ref="B5:D5"/>
    <s:mergeCell ref="B4:D4"/>
    <s:mergeCell ref="A54:D54"/>
    <s:mergeCell ref="B7:D7"/>
    <s:mergeCell ref="B25:D25"/>
    <s:mergeCell ref="B59:D59"/>
    <s:mergeCell ref="B3:D3"/>
    <s:mergeCell ref="B93:D93"/>
    <s:mergeCell ref="B56:D56"/>
    <s:mergeCell ref="B58:D58"/>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3" manualBreakCount="3">
    <s:brk id="26" min="0" max="16383" man="1"/>
    <s:brk id="53" min="0" max="16383" man="1"/>
    <s:brk id="94" min="0" max="16383" man="1"/>
  </s:rowBreaks>
  <s:drawing r:id="rId1"/>
</s:worksheet>
</file>

<file path=xl/worksheets/sheet8.xml><?xml version="1.0" encoding="utf-8"?>
<s:worksheet xmlns:r="http://schemas.openxmlformats.org/officeDocument/2006/relationships" xmlns:s="http://schemas.openxmlformats.org/spreadsheetml/2006/main">
  <s:sheetPr>
    <s:outlinePr summaryBelow="1" summaryRight="0"/>
    <s:pageSetUpPr fitToPage="1"/>
  </s:sheetPr>
  <s:dimension ref="A1:D40"/>
  <s:sheetViews>
    <s:sheetView showGridLines="0" topLeftCell="A24" workbookViewId="0">
      <s:pane ySplit="8" topLeftCell="A9" activePane="bottomLeft" state="frozen"/>
      <s:selection pane="bottomLeft" activeCell="A36" sqref="A36"/>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SE06 — Pesquisar estoque e localizar produto</s:t>
        </s:is>
      </s:c>
    </s:row>
    <s:row r="2" ht="32" customHeight="1">
      <s:c r="A2" s="81" t="inlineStr">
        <s:is>
          <s:t>Tipo e finalidade</s:t>
        </s:is>
      </s:c>
      <s:c r="B2" s="82" t="inlineStr">
        <s:is>
          <s:t>SE · Pesquisar estoque e localizar produto</s:t>
        </s:is>
      </s:c>
    </s:row>
    <s:row r="3" ht="32" customHeight="1">
      <s:c r="A3" s="81" t="inlineStr">
        <s:is>
          <s:t>Evidência</s:t>
        </s:is>
      </s:c>
      <s:c r="B3" s="82" t="inlineStr">
        <s:is>
          <s:t>ProdutoService.pesquisar/buscar; DashboardController; BuscaAssistidaController · / (pesquisa)</s:t>
        </s:is>
      </s:c>
    </s:row>
    <s:row r="4" ht="55" customHeight="1">
      <s:c r="A4" s="81" t="inlineStr">
        <s:is>
          <s:t>Arquivos e itens</s:t>
        </s:is>
      </s:c>
      <s:c r="B4" s="82" t="inlineStr">
        <s:is>
          <s:t>A01: nome, marca, categoria; A02: SKU, código de barras, cor, tamanho, unidade, preço, características e ativo; A03: código e setor; A04: produto, posição e quantidade. Loja delimita os registros. Saldo total é soma das quantidades.</s:t>
        </s:is>
      </s:c>
    </s:row>
    <s:row r="5" ht="40" customHeight="1">
      <s:c r="A5" s="81" t="inlineStr">
        <s:is>
          <s:t>Classificação / regra</s:t>
        </s:is>
      </s:c>
      <s:c r="B5" s="82" t="inlineStr">
        <s:is>
          <s:t>Soma das posições para obter saldo. Dashboard, busca digitada/voz e lista de produtos reutilizam a mesma intenção; não contar canais novamente.</s:t>
        </s:is>
      </s:c>
    </s:row>
    <s:row r="6" ht="55" customHeight="1">
      <s:c r="A6" s="81" t="inlineStr">
        <s:is>
          <s:t>Contagem</s:t>
        </s:is>
      </s:c>
      <s:c r="B6" s="82" t="inlineStr">
        <s:is>
          <s:t>Um conjunto de comandos e um campo de feedback. Textos alternativos de sucesso/erro não são campos independentes. Dados repetidos contam uma vez. Sessão, CSRF e chave técnica de idempotência excluídos.</s:t>
        </s:is>
      </s:c>
    </s:row>
    <s:row r="7" ht="40" customHeight="1">
      <s:c r="A7" s="81" t="inlineStr">
        <s:is>
          <s:t>Fluxo e exceções</s:t>
        </s:is>
      </s:c>
      <s:c r="B7" s="82" t="inlineStr">
        <s:is>
          <s:t xml:space="preserve">Sem resultados: mensagem de ausência. Erros de entrada são informados; consultas não alteram dados. </s:t>
        </s:is>
      </s:c>
    </s:row>
    <s:row r="8"/>
    <s:row r="9" ht="30" customHeight="1">
      <s:c r="A9" s="83" t="inlineStr">
        <s:is>
          <s:t>Arquivo / origem</s:t>
        </s:is>
      </s:c>
      <s:c r="B9" s="83" t="inlineStr">
        <s:is>
          <s:t>Dado que cruza a fronteira</s:t>
        </s:is>
      </s:c>
      <s:c r="C9" s="83" t="inlineStr">
        <s:is>
          <s:t>Uso no processo</s:t>
        </s:is>
      </s:c>
      <s:c r="D9" s="83" t="inlineStr">
        <s:is>
          <s:t>DER contado</s:t>
        </s:is>
      </s:c>
    </s:row>
    <s:row r="10" ht="32" customHeight="1">
      <s:c r="A10" s="82" t="inlineStr">
        <s:is>
          <s:t>A01, A02, A03, A04</s:t>
        </s:is>
      </s:c>
      <s:c r="B10" s="82" t="inlineStr">
        <s:is>
          <s:t>busca</s:t>
        </s:is>
      </s:c>
      <s:c r="C10" s="82" t="inlineStr">
        <s:is>
          <s:t>Entrada</s:t>
        </s:is>
      </s:c>
      <s:c r="D10" s="82" t="n">
        <s:v>1</s:v>
      </s:c>
    </s:row>
    <s:row r="11" ht="32" customHeight="1">
      <s:c r="A11" s="82" t="inlineStr">
        <s:is>
          <s:t>A01, A02, A03, A04</s:t>
        </s:is>
      </s:c>
      <s:c r="B11" s="82" t="inlineStr">
        <s:is>
          <s:t>produto selecionado</s:t>
        </s:is>
      </s:c>
      <s:c r="C11" s="82" t="inlineStr">
        <s:is>
          <s:t>Entrada</s:t>
        </s:is>
      </s:c>
      <s:c r="D11" s="82" t="n">
        <s:v>1</s:v>
      </s:c>
    </s:row>
    <s:row r="12" ht="32" customHeight="1">
      <s:c r="A12" s="82" t="inlineStr">
        <s:is>
          <s:t>A01, A02, A03, A04</s:t>
        </s:is>
      </s:c>
      <s:c r="B12" s="82" t="inlineStr">
        <s:is>
          <s:t>SKU</s:t>
        </s:is>
      </s:c>
      <s:c r="C12" s="82" t="inlineStr">
        <s:is>
          <s:t>Saída</s:t>
        </s:is>
      </s:c>
      <s:c r="D12" s="82" t="n">
        <s:v>1</s:v>
      </s:c>
    </s:row>
    <s:row r="13" ht="32" customHeight="1">
      <s:c r="A13" s="82" t="inlineStr">
        <s:is>
          <s:t>A01, A02, A03, A04</s:t>
        </s:is>
      </s:c>
      <s:c r="B13" s="82" t="inlineStr">
        <s:is>
          <s:t>código de barras</s:t>
        </s:is>
      </s:c>
      <s:c r="C13" s="82" t="inlineStr">
        <s:is>
          <s:t>Saída</s:t>
        </s:is>
      </s:c>
      <s:c r="D13" s="82" t="n">
        <s:v>1</s:v>
      </s:c>
    </s:row>
    <s:row r="14" ht="32" customHeight="1">
      <s:c r="A14" s="82" t="inlineStr">
        <s:is>
          <s:t>A01, A02, A03, A04</s:t>
        </s:is>
      </s:c>
      <s:c r="B14" s="82" t="inlineStr">
        <s:is>
          <s:t>nome</s:t>
        </s:is>
      </s:c>
      <s:c r="C14" s="82" t="inlineStr">
        <s:is>
          <s:t>Saída</s:t>
        </s:is>
      </s:c>
      <s:c r="D14" s="82" t="n">
        <s:v>1</s:v>
      </s:c>
    </s:row>
    <s:row r="15" ht="32" customHeight="1">
      <s:c r="A15" s="82" t="inlineStr">
        <s:is>
          <s:t>A01, A02, A03, A04</s:t>
        </s:is>
      </s:c>
      <s:c r="B15" s="82" t="inlineStr">
        <s:is>
          <s:t>marca</s:t>
        </s:is>
      </s:c>
      <s:c r="C15" s="82" t="inlineStr">
        <s:is>
          <s:t>Saída</s:t>
        </s:is>
      </s:c>
      <s:c r="D15" s="82" t="n">
        <s:v>1</s:v>
      </s:c>
    </s:row>
    <s:row r="16" ht="32" customHeight="1">
      <s:c r="A16" s="82" t="inlineStr">
        <s:is>
          <s:t>A01, A02, A03, A04</s:t>
        </s:is>
      </s:c>
      <s:c r="B16" s="82" t="inlineStr">
        <s:is>
          <s:t>categoria</s:t>
        </s:is>
      </s:c>
      <s:c r="C16" s="82" t="inlineStr">
        <s:is>
          <s:t>Saída</s:t>
        </s:is>
      </s:c>
      <s:c r="D16" s="82" t="n">
        <s:v>1</s:v>
      </s:c>
    </s:row>
    <s:row r="17" ht="32" customHeight="1">
      <s:c r="A17" s="82" t="inlineStr">
        <s:is>
          <s:t>A01, A02, A03, A04</s:t>
        </s:is>
      </s:c>
      <s:c r="B17" s="82" t="inlineStr">
        <s:is>
          <s:t>cor</s:t>
        </s:is>
      </s:c>
      <s:c r="C17" s="82" t="inlineStr">
        <s:is>
          <s:t>Saída</s:t>
        </s:is>
      </s:c>
      <s:c r="D17" s="82" t="n">
        <s:v>1</s:v>
      </s:c>
    </s:row>
    <s:row r="18" ht="32" customHeight="1">
      <s:c r="A18" s="82" t="inlineStr">
        <s:is>
          <s:t>A01, A02, A03, A04</s:t>
        </s:is>
      </s:c>
      <s:c r="B18" s="82" t="inlineStr">
        <s:is>
          <s:t>tamanho</s:t>
        </s:is>
      </s:c>
      <s:c r="C18" s="82" t="inlineStr">
        <s:is>
          <s:t>Saída</s:t>
        </s:is>
      </s:c>
      <s:c r="D18" s="82" t="n">
        <s:v>1</s:v>
      </s:c>
    </s:row>
    <s:row r="19" ht="32" customHeight="1">
      <s:c r="A19" s="82" t="inlineStr">
        <s:is>
          <s:t>A01, A02, A03, A04</s:t>
        </s:is>
      </s:c>
      <s:c r="B19" s="82" t="inlineStr">
        <s:is>
          <s:t>unidade</s:t>
        </s:is>
      </s:c>
      <s:c r="C19" s="82" t="inlineStr">
        <s:is>
          <s:t>Saída</s:t>
        </s:is>
      </s:c>
      <s:c r="D19" s="82" t="n">
        <s:v>1</s:v>
      </s:c>
    </s:row>
    <s:row r="20" ht="32" customHeight="1">
      <s:c r="A20" s="82" t="inlineStr">
        <s:is>
          <s:t>A01, A02, A03, A04</s:t>
        </s:is>
      </s:c>
      <s:c r="B20" s="82" t="inlineStr">
        <s:is>
          <s:t>preço</s:t>
        </s:is>
      </s:c>
      <s:c r="C20" s="82" t="inlineStr">
        <s:is>
          <s:t>Saída</s:t>
        </s:is>
      </s:c>
      <s:c r="D20" s="82" t="n">
        <s:v>1</s:v>
      </s:c>
    </s:row>
    <s:row r="21" ht="32" customHeight="1">
      <s:c r="A21" s="82" t="inlineStr">
        <s:is>
          <s:t>A01, A02, A03, A04</s:t>
        </s:is>
      </s:c>
      <s:c r="B21" s="82" t="inlineStr">
        <s:is>
          <s:t>características</s:t>
        </s:is>
      </s:c>
      <s:c r="C21" s="82" t="inlineStr">
        <s:is>
          <s:t>Saída</s:t>
        </s:is>
      </s:c>
      <s:c r="D21" s="82" t="n">
        <s:v>1</s:v>
      </s:c>
    </s:row>
    <s:row r="22" ht="32" customHeight="1">
      <s:c r="A22" s="82" t="inlineStr">
        <s:is>
          <s:t>A01, A02, A03, A04</s:t>
        </s:is>
      </s:c>
      <s:c r="B22" s="82" t="inlineStr">
        <s:is>
          <s:t>saldo total</s:t>
        </s:is>
      </s:c>
      <s:c r="C22" s="82" t="inlineStr">
        <s:is>
          <s:t>Saída</s:t>
        </s:is>
      </s:c>
      <s:c r="D22" s="82" t="n">
        <s:v>1</s:v>
      </s:c>
    </s:row>
    <s:row r="23" ht="32" customHeight="1">
      <s:c r="A23" s="82" t="inlineStr">
        <s:is>
          <s:t>A01, A02, A03, A04</s:t>
        </s:is>
      </s:c>
      <s:c r="B23" s="82" t="inlineStr">
        <s:is>
          <s:t>posição</s:t>
        </s:is>
      </s:c>
      <s:c r="C23" s="82" t="inlineStr">
        <s:is>
          <s:t>Saída</s:t>
        </s:is>
      </s:c>
      <s:c r="D23" s="82" t="n">
        <s:v>1</s:v>
      </s:c>
    </s:row>
    <s:row r="24" ht="32" customHeight="1">
      <s:c r="A24" s="82" t="inlineStr">
        <s:is>
          <s:t>A01, A02, A03, A04</s:t>
        </s:is>
      </s:c>
      <s:c r="B24" s="82" t="inlineStr">
        <s:is>
          <s:t>setor</s:t>
        </s:is>
      </s:c>
      <s:c r="C24" s="82" t="inlineStr">
        <s:is>
          <s:t>Saída</s:t>
        </s:is>
      </s:c>
      <s:c r="D24" s="82" t="n">
        <s:v>1</s:v>
      </s:c>
    </s:row>
    <s:row r="25" ht="32" customHeight="1">
      <s:c r="A25" s="82" t="inlineStr">
        <s:is>
          <s:t>A01, A02, A03, A04</s:t>
        </s:is>
      </s:c>
      <s:c r="B25" s="82" t="inlineStr">
        <s:is>
          <s:t>quantidade na posição</s:t>
        </s:is>
      </s:c>
      <s:c r="C25" s="82" t="inlineStr">
        <s:is>
          <s:t>Saída</s:t>
        </s:is>
      </s:c>
      <s:c r="D25" s="82" t="n">
        <s:v>1</s:v>
      </s:c>
    </s:row>
    <s:row r="26" ht="32" customHeight="1">
      <s:c r="A26" s="82" t="inlineStr">
        <s:is>
          <s:t>Interface</s:t>
        </s:is>
      </s:c>
      <s:c r="B26" s="82" t="inlineStr">
        <s:is>
          <s:t>acionamento</s:t>
        </s:is>
      </s:c>
      <s:c r="C26" s="82" t="inlineStr">
        <s:is>
          <s:t>Controle</s:t>
        </s:is>
      </s:c>
      <s:c r="D26" s="82" t="n">
        <s:v>1</s:v>
      </s:c>
    </s:row>
    <s:row r="27" ht="32" customHeight="1">
      <s:c r="A27" s="82" t="inlineStr">
        <s:is>
          <s:t>Interface</s:t>
        </s:is>
      </s:c>
      <s:c r="B27" s="82" t="inlineStr">
        <s:is>
          <s:t>mensagem de resultado</s:t>
        </s:is>
      </s:c>
      <s:c r="C27" s="82" t="inlineStr">
        <s:is>
          <s:t>Controle</s:t>
        </s:is>
      </s:c>
      <s:c r="D27" s="82" t="n">
        <s:v>1</s:v>
      </s:c>
    </s:row>
    <s:row r="28"/>
    <s:row r="29" ht="30" customHeight="1">
      <s:c r="A29" s="83" t="inlineStr">
        <s:is>
          <s:t>Arquivos referenciados</s:t>
        </s:is>
      </s:c>
      <s:c r="B29" s="83" t="inlineStr">
        <s:is>
          <s:t>Grupo lógico</s:t>
        </s:is>
      </s:c>
      <s:c r="C29" s="83" t="inlineStr">
        <s:is>
          <s:t>Uso</s:t>
        </s:is>
      </s:c>
      <s:c r="D29" s="83" t="inlineStr"/>
    </s:row>
    <s:row r="30" ht="32" customHeight="1">
      <s:c r="A30" s="82" t="inlineStr">
        <s:is>
          <s:t>A01</s:t>
        </s:is>
      </s:c>
      <s:c r="B30" s="82" t="inlineStr">
        <s:is>
          <s:t>Modelos de produto</s:t>
        </s:is>
      </s:c>
      <s:c r="C30" s="82" t="inlineStr">
        <s:is>
          <s:t>Ver itens referenciados acima</s:t>
        </s:is>
      </s:c>
    </s:row>
    <s:row r="31" ht="32" customHeight="1">
      <s:c r="A31" s="82" t="inlineStr">
        <s:is>
          <s:t>A02</s:t>
        </s:is>
      </s:c>
      <s:c r="B31" s="82" t="inlineStr">
        <s:is>
          <s:t>Produtos</s:t>
        </s:is>
      </s:c>
      <s:c r="C31" s="82" t="inlineStr">
        <s:is>
          <s:t>Ver itens referenciados acima</s:t>
        </s:is>
      </s:c>
    </s:row>
    <s:row r="32" ht="32" customHeight="1">
      <s:c r="A32" s="82" t="inlineStr">
        <s:is>
          <s:t>A03</s:t>
        </s:is>
      </s:c>
      <s:c r="B32" s="82" t="inlineStr">
        <s:is>
          <s:t>Posições</s:t>
        </s:is>
      </s:c>
      <s:c r="C32" s="82" t="inlineStr">
        <s:is>
          <s:t>Ver itens referenciados acima</s:t>
        </s:is>
      </s:c>
    </s:row>
    <s:row r="33" ht="32" customHeight="1">
      <s:c r="A33" s="82" t="inlineStr">
        <s:is>
          <s:t>A04</s:t>
        </s:is>
      </s:c>
      <s:c r="B33" s="82" t="inlineStr">
        <s:is>
          <s:t>Estoque por posição / vínculos</s:t>
        </s:is>
      </s:c>
      <s:c r="C33" s="82" t="inlineStr">
        <s:is>
          <s:t>Ver itens referenciados acima</s:t>
        </s:is>
      </s:c>
    </s:row>
    <s:row r="34"/>
    <s:row r="35">
      <s:c r="A35" s="82" t="inlineStr">
        <s:is>
          <s:t>Contagem</s:t>
        </s:is>
      </s:c>
      <s:c r="B35" s="82" t="inlineStr">
        <s:is>
          <s:t>Arquivos referenciados</s:t>
        </s:is>
      </s:c>
      <s:c r="C35" s="82">
        <s:f>COUNTA(A30:A33)</s:f>
        <s:v>4</s:v>
      </s:c>
    </s:row>
    <s:row r="36">
      <s:c r="A36" s="82" t="inlineStr">
        <s:is>
          <s:t>Contagem</s:t>
        </s:is>
      </s:c>
      <s:c r="B36" s="82" t="inlineStr">
        <s:is>
          <s:t>Itens distintos (TD/DER)</s:t>
        </s:is>
      </s:c>
      <s:c r="C36" s="82">
        <s:f>IF(COUNT(D10:D27)&lt;&gt;ROWS(D10:D27),"Dados pendentes",IF(COUNTIF(D10:D27,0)+COUNTIF(D10:D27,1)&lt;&gt;ROWS(D10:D27),"Revisar DER",SUM(D10:D27)))</s:f>
        <s:v>18</s:v>
      </s:c>
    </s:row>
    <s:row r="37">
      <s:c r="A37" s="82" t="inlineStr">
        <s:is>
          <s:t>Complexidade</s:t>
        </s:is>
      </s:c>
      <s:c r="B37" s="82" t="str">
        <s:f>IF(OR(NOT(ISNUMBER(C35)),NOT(ISNUMBER(C36)),C35&lt;=0,C36&lt;=0),"Dados pendentes",IF(C36&lt;=5,IF(C35&lt;=3,"Simples","Moderado"),IF(C36&lt;=19,IF(C35&lt;=1,"Simples",IF(C35&lt;=3,"Moderado","Complexo")),IF(C35&lt;=1,"Moderado","Complexo"))))</s:f>
        <s:v>Complexo</s:v>
      </s:c>
    </s:row>
    <s:row r="38">
      <s:c r="A38" s="82" t="inlineStr">
        <s:is>
          <s:t>Tamanho (PF)</s:t>
        </s:is>
      </s:c>
      <s:c r="B38" s="82">
        <s:f>IF(B37="Simples",4,IF(B37="Moderado",5,IF(B37="Complexo",7,"Dados pendentes")))</s:f>
        <s:v>7</s:v>
      </s:c>
    </s:row>
    <s:row r="39"/>
    <s:row r="40" ht="40" customHeight="1">
      <s:c r="A40" s="81" t="inlineStr">
        <s:is>
          <s:t>Protótipo</s:t>
        </s:is>
      </s:c>
      <s:c r="B40" s="82" t="inlineStr">
        <s:is>
          <s:t>Baixa fidelidade baseada na interface implementada. Exemplos ilustrativos; dados de demonstração não comprovam autoria. / (pesquisa)</s:t>
        </s:is>
      </s:c>
    </s:row>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4" ht="15" customHeight="1"/>
    <s:row r="55" ht="15" customHeight="1"/>
    <s:row r="56" ht="15" customHeight="1"/>
    <s:row r="57" ht="15" customHeight="1"/>
    <s:row r="58" ht="15" customHeight="1"/>
    <s:row r="59" ht="15" customHeight="1"/>
    <s:row r="60" ht="15" customHeight="1"/>
    <s:row r="61" ht="15" customHeight="1"/>
    <s:row r="62" ht="15" customHeight="1"/>
    <s:row r="63" ht="15" customHeight="1"/>
    <s:row r="64" ht="15" customHeight="1"/>
    <s:row r="65" ht="15" customHeight="1"/>
    <s:row r="66" ht="15" customHeight="1"/>
    <s:row r="67" ht="15" customHeight="1"/>
    <s:row r="68" ht="15" customHeight="1"/>
    <s:row r="69" ht="15" customHeight="1"/>
    <s:row r="70" ht="15" customHeight="1"/>
    <s:row r="71" ht="15" customHeight="1"/>
    <s:row r="72" ht="15" customHeight="1"/>
    <s:row r="73" ht="15" customHeight="1"/>
    <s:row r="74" ht="15" customHeight="1"/>
    <s:row r="75" ht="15" customHeight="1"/>
    <s:row r="76" ht="15" customHeight="1"/>
    <s:row r="77" ht="15" customHeight="1"/>
    <s:row r="78" ht="15" customHeight="1"/>
    <s:row r="79" ht="15" customHeight="1"/>
    <s:row r="80" ht="15" customHeight="1"/>
    <s:row r="81" ht="15" customHeight="1"/>
    <s:row r="82" ht="15" customHeight="1"/>
    <s:row r="83" ht="15" customHeight="1"/>
    <s:row r="84" ht="15" customHeight="1"/>
    <s:row r="85" ht="15" customHeight="1"/>
    <s:row r="86" ht="15" customHeight="1"/>
    <s:row r="87" ht="15" customHeight="1"/>
    <s:row r="88" ht="15" customHeight="1"/>
  </s:sheetData>
  <s:mergeCells count="8">
    <s:mergeCell ref="A1:D1"/>
    <s:mergeCell ref="B5:D5"/>
    <s:mergeCell ref="B3:D3"/>
    <s:mergeCell ref="B4:D4"/>
    <s:mergeCell ref="B40:D40"/>
    <s:mergeCell ref="B7:D7"/>
    <s:mergeCell ref="B6:D6"/>
    <s:mergeCell ref="B2:D2"/>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41" min="0" max="16383" man="1"/>
  </s:rowBreaks>
  <s:drawing r:id="rId1"/>
</s:worksheet>
</file>

<file path=xl/worksheets/sheet9.xml><?xml version="1.0" encoding="utf-8"?>
<s:worksheet xmlns:r="http://schemas.openxmlformats.org/officeDocument/2006/relationships" xmlns:s="http://schemas.openxmlformats.org/spreadsheetml/2006/main">
  <s:sheetPr>
    <s:outlinePr summaryBelow="1" summaryRight="0"/>
    <s:pageSetUpPr fitToPage="1"/>
  </s:sheetPr>
  <s:dimension ref="A1:D28"/>
  <s:sheetViews>
    <s:sheetView showGridLines="0" topLeftCell="A30" workbookViewId="0">
      <s:pane ySplit="8" topLeftCell="A9" activePane="bottomLeft" state="frozen"/>
      <s:selection pane="bottomLeft" activeCell="C30" sqref="C30"/>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SE02 — Valor potencial do estoque</s:t>
        </s:is>
      </s:c>
    </s:row>
    <s:row r="2" ht="32" customHeight="1">
      <s:c r="A2" s="81" t="inlineStr">
        <s:is>
          <s:t>Tipo e finalidade</s:t>
        </s:is>
      </s:c>
      <s:c r="B2" s="82" t="inlineStr">
        <s:is>
          <s:t>SE · Valor potencial do estoque</s:t>
        </s:is>
      </s:c>
    </s:row>
    <s:row r="3" ht="32" customHeight="1">
      <s:c r="A3" s="81" t="inlineStr">
        <s:is>
          <s:t>Evidência</s:t>
        </s:is>
      </s:c>
      <s:c r="B3" s="82" t="inlineStr">
        <s:is>
          <s:t>AnaliseService.relatorio(valor) · /relatorios?tipo=valor</s:t>
        </s:is>
      </s:c>
    </s:row>
    <s:row r="4" ht="40" customHeight="1">
      <s:c r="A4" s="81" t="inlineStr">
        <s:is>
          <s:t>Arquivos e itens</s:t>
        </s:is>
      </s:c>
      <s:c r="B4" s="82" t="inlineStr">
        <s:is>
          <s:t>A02: SKU, unidade, preço, ativo e loja; A04: produto e quantidade. Saldo é soma por produto; valor = saldo × preço; total = soma dos valores arredondados em centavos.</s:t>
        </s:is>
      </s:c>
    </s:row>
    <s:row r="5" ht="40" customHeight="1">
      <s:c r="A5" s="81" t="inlineStr">
        <s:is>
          <s:t>Classificação / regra</s:t>
        </s:is>
      </s:c>
      <s:c r="B5" s="82" t="inlineStr">
        <s:is>
          <s:t>Saldo × preço atual, arredondado em centavos por produto; total = soma dos valores. Não é custo nem receita realizada.</s:t>
        </s:is>
      </s:c>
    </s:row>
    <s:row r="6" ht="55" customHeight="1">
      <s:c r="A6" s="81" t="inlineStr">
        <s:is>
          <s:t>Contagem</s:t>
        </s:is>
      </s:c>
      <s:c r="B6" s="82" t="inlineStr">
        <s:is>
          <s:t>Um conjunto de comandos e um campo de feedback. Textos alternativos de sucesso/erro não são campos independentes. Dados repetidos contam uma vez. Sessão, CSRF e chave técnica de idempotência excluídos.</s:t>
        </s:is>
      </s:c>
    </s:row>
    <s:row r="7" ht="40" customHeight="1">
      <s:c r="A7" s="81" t="inlineStr">
        <s:is>
          <s:t>Fluxo e exceções</s:t>
        </s:is>
      </s:c>
      <s:c r="B7" s="82" t="inlineStr">
        <s:is>
          <s:t xml:space="preserve">Sem resultados: mensagem de ausência. Erros de entrada são informados; consultas não alteram dados. </s:t>
        </s:is>
      </s:c>
    </s:row>
    <s:row r="8"/>
    <s:row r="9" ht="30" customHeight="1">
      <s:c r="A9" s="83" t="inlineStr">
        <s:is>
          <s:t>Arquivo / origem</s:t>
        </s:is>
      </s:c>
      <s:c r="B9" s="83" t="inlineStr">
        <s:is>
          <s:t>Dado que cruza a fronteira</s:t>
        </s:is>
      </s:c>
      <s:c r="C9" s="83" t="inlineStr">
        <s:is>
          <s:t>Uso no processo</s:t>
        </s:is>
      </s:c>
      <s:c r="D9" s="83" t="inlineStr">
        <s:is>
          <s:t>DER contado</s:t>
        </s:is>
      </s:c>
    </s:row>
    <s:row r="10" ht="32" customHeight="1">
      <s:c r="A10" s="82" t="inlineStr">
        <s:is>
          <s:t>A02, A04</s:t>
        </s:is>
      </s:c>
      <s:c r="B10" s="82" t="inlineStr">
        <s:is>
          <s:t>SKU</s:t>
        </s:is>
      </s:c>
      <s:c r="C10" s="82" t="inlineStr">
        <s:is>
          <s:t>Saída</s:t>
        </s:is>
      </s:c>
      <s:c r="D10" s="82" t="n">
        <s:v>1</s:v>
      </s:c>
    </s:row>
    <s:row r="11" ht="32" customHeight="1">
      <s:c r="A11" s="82" t="inlineStr">
        <s:is>
          <s:t>A02, A04</s:t>
        </s:is>
      </s:c>
      <s:c r="B11" s="82" t="inlineStr">
        <s:is>
          <s:t>unidade</s:t>
        </s:is>
      </s:c>
      <s:c r="C11" s="82" t="inlineStr">
        <s:is>
          <s:t>Saída</s:t>
        </s:is>
      </s:c>
      <s:c r="D11" s="82" t="n">
        <s:v>1</s:v>
      </s:c>
    </s:row>
    <s:row r="12" ht="32" customHeight="1">
      <s:c r="A12" s="82" t="inlineStr">
        <s:is>
          <s:t>A02, A04</s:t>
        </s:is>
      </s:c>
      <s:c r="B12" s="82" t="inlineStr">
        <s:is>
          <s:t>saldo</s:t>
        </s:is>
      </s:c>
      <s:c r="C12" s="82" t="inlineStr">
        <s:is>
          <s:t>Saída</s:t>
        </s:is>
      </s:c>
      <s:c r="D12" s="82" t="n">
        <s:v>1</s:v>
      </s:c>
    </s:row>
    <s:row r="13" ht="32" customHeight="1">
      <s:c r="A13" s="82" t="inlineStr">
        <s:is>
          <s:t>A02, A04</s:t>
        </s:is>
      </s:c>
      <s:c r="B13" s="82" t="inlineStr">
        <s:is>
          <s:t>preço</s:t>
        </s:is>
      </s:c>
      <s:c r="C13" s="82" t="inlineStr">
        <s:is>
          <s:t>Saída</s:t>
        </s:is>
      </s:c>
      <s:c r="D13" s="82" t="n">
        <s:v>1</s:v>
      </s:c>
    </s:row>
    <s:row r="14" ht="32" customHeight="1">
      <s:c r="A14" s="82" t="inlineStr">
        <s:is>
          <s:t>A02, A04</s:t>
        </s:is>
      </s:c>
      <s:c r="B14" s="82" t="inlineStr">
        <s:is>
          <s:t>valor por produto</s:t>
        </s:is>
      </s:c>
      <s:c r="C14" s="82" t="inlineStr">
        <s:is>
          <s:t>Saída</s:t>
        </s:is>
      </s:c>
      <s:c r="D14" s="82" t="n">
        <s:v>1</s:v>
      </s:c>
    </s:row>
    <s:row r="15" ht="32" customHeight="1">
      <s:c r="A15" s="82" t="inlineStr">
        <s:is>
          <s:t>A02, A04</s:t>
        </s:is>
      </s:c>
      <s:c r="B15" s="82" t="inlineStr">
        <s:is>
          <s:t>total da loja</s:t>
        </s:is>
      </s:c>
      <s:c r="C15" s="82" t="inlineStr">
        <s:is>
          <s:t>Saída</s:t>
        </s:is>
      </s:c>
      <s:c r="D15" s="82" t="n">
        <s:v>1</s:v>
      </s:c>
    </s:row>
    <s:row r="16" ht="32" customHeight="1">
      <s:c r="A16" s="82" t="inlineStr">
        <s:is>
          <s:t>Interface</s:t>
        </s:is>
      </s:c>
      <s:c r="B16" s="82" t="inlineStr">
        <s:is>
          <s:t>acionamento</s:t>
        </s:is>
      </s:c>
      <s:c r="C16" s="82" t="inlineStr">
        <s:is>
          <s:t>Controle</s:t>
        </s:is>
      </s:c>
      <s:c r="D16" s="82" t="n">
        <s:v>1</s:v>
      </s:c>
    </s:row>
    <s:row r="17" ht="32" customHeight="1">
      <s:c r="A17" s="82" t="inlineStr">
        <s:is>
          <s:t>Interface</s:t>
        </s:is>
      </s:c>
      <s:c r="B17" s="82" t="inlineStr">
        <s:is>
          <s:t>mensagem de resultado</s:t>
        </s:is>
      </s:c>
      <s:c r="C17" s="82" t="inlineStr">
        <s:is>
          <s:t>Controle</s:t>
        </s:is>
      </s:c>
      <s:c r="D17" s="82" t="n">
        <s:v>1</s:v>
      </s:c>
    </s:row>
    <s:row r="18"/>
    <s:row r="19" ht="30" customHeight="1">
      <s:c r="A19" s="83" t="inlineStr">
        <s:is>
          <s:t>Arquivos referenciados</s:t>
        </s:is>
      </s:c>
      <s:c r="B19" s="83" t="inlineStr">
        <s:is>
          <s:t>Grupo lógico</s:t>
        </s:is>
      </s:c>
      <s:c r="C19" s="83" t="inlineStr">
        <s:is>
          <s:t>Uso</s:t>
        </s:is>
      </s:c>
      <s:c r="D19" s="83" t="inlineStr"/>
    </s:row>
    <s:row r="20" ht="32" customHeight="1">
      <s:c r="A20" s="82" t="inlineStr">
        <s:is>
          <s:t>A02</s:t>
        </s:is>
      </s:c>
      <s:c r="B20" s="82" t="inlineStr">
        <s:is>
          <s:t>Produtos</s:t>
        </s:is>
      </s:c>
      <s:c r="C20" s="82" t="inlineStr">
        <s:is>
          <s:t>Ver itens referenciados acima</s:t>
        </s:is>
      </s:c>
    </s:row>
    <s:row r="21" ht="32" customHeight="1">
      <s:c r="A21" s="82" t="inlineStr">
        <s:is>
          <s:t>A04</s:t>
        </s:is>
      </s:c>
      <s:c r="B21" s="82" t="inlineStr">
        <s:is>
          <s:t>Estoque por posição / vínculos</s:t>
        </s:is>
      </s:c>
      <s:c r="C21" s="82" t="inlineStr">
        <s:is>
          <s:t>Ver itens referenciados acima</s:t>
        </s:is>
      </s:c>
    </s:row>
    <s:row r="22"/>
    <s:row r="23">
      <s:c r="A23" s="82" t="inlineStr">
        <s:is>
          <s:t>Contagem</s:t>
        </s:is>
      </s:c>
      <s:c r="B23" s="82" t="inlineStr">
        <s:is>
          <s:t>Arquivos referenciados</s:t>
        </s:is>
      </s:c>
      <s:c r="C23" s="82">
        <s:f>COUNTA(A20:A21)</s:f>
        <s:v>2</s:v>
      </s:c>
    </s:row>
    <s:row r="24">
      <s:c r="A24" s="82" t="inlineStr">
        <s:is>
          <s:t>Contagem</s:t>
        </s:is>
      </s:c>
      <s:c r="B24" s="82" t="inlineStr">
        <s:is>
          <s:t>Itens distintos (TD/DER)</s:t>
        </s:is>
      </s:c>
      <s:c r="C24" s="82">
        <s:f>IF(COUNT(D10:D17)&lt;&gt;ROWS(D10:D17),"Dados pendentes",IF(COUNTIF(D10:D17,0)+COUNTIF(D10:D17,1)&lt;&gt;ROWS(D10:D17),"Revisar DER",SUM(D10:D17)))</s:f>
        <s:v>8</s:v>
      </s:c>
    </s:row>
    <s:row r="25">
      <s:c r="A25" s="82" t="inlineStr">
        <s:is>
          <s:t>Complexidade</s:t>
        </s:is>
      </s:c>
      <s:c r="B25" s="82" t="str">
        <s:f>IF(OR(NOT(ISNUMBER(C23)),NOT(ISNUMBER(C24)),C23&lt;=0,C24&lt;=0),"Dados pendentes",IF(C24&lt;=5,IF(C23&lt;=3,"Simples","Moderado"),IF(C24&lt;=19,IF(C23&lt;=1,"Simples",IF(C23&lt;=3,"Moderado","Complexo")),IF(C23&lt;=1,"Moderado","Complexo"))))</s:f>
        <s:v>Moderado</s:v>
      </s:c>
    </s:row>
    <s:row r="26">
      <s:c r="A26" s="82" t="inlineStr">
        <s:is>
          <s:t>Tamanho (PF)</s:t>
        </s:is>
      </s:c>
      <s:c r="B26" s="82">
        <s:f>IF(B25="Simples",4,IF(B25="Moderado",5,IF(B25="Complexo",7,"Dados pendentes")))</s:f>
        <s:v>5</s:v>
      </s:c>
    </s:row>
    <s:row r="27"/>
    <s:row r="28" ht="40" customHeight="1">
      <s:c r="A28" s="81" t="inlineStr">
        <s:is>
          <s:t>Protótipo</s:t>
        </s:is>
      </s:c>
      <s:c r="B28" s="82" t="inlineStr">
        <s:is>
          <s:t>Baixa fidelidade baseada na interface implementada. Exemplos ilustrativos; dados de demonstração não comprovam autoria. /relatorios?tipo=valor</s:t>
        </s:is>
      </s:c>
    </s:row>
    <s:row r="31" ht="15" customHeight="1"/>
    <s:row r="32" ht="15" customHeight="1"/>
    <s:row r="33" ht="15" customHeight="1"/>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4" ht="15" customHeight="1"/>
    <s:row r="55" ht="15" customHeight="1"/>
    <s:row r="56" ht="15" customHeight="1"/>
    <s:row r="57" ht="15" customHeight="1"/>
  </s:sheetData>
  <s:mergeCells count="8">
    <s:mergeCell ref="B3:D3"/>
    <s:mergeCell ref="A1:D1"/>
    <s:mergeCell ref="B5:D5"/>
    <s:mergeCell ref="B28:D28"/>
    <s:mergeCell ref="B4:D4"/>
    <s:mergeCell ref="B2:D2"/>
    <s:mergeCell ref="B7:D7"/>
    <s:mergeCell ref="B6:D6"/>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29" min="0" max="16383" man="1"/>
  </s:rowBreaks>
  <s:drawing r:id="rId1"/>
</s:worksheet>
</file>

<file path=xl/worksheets/sheet10.xml><?xml version="1.0" encoding="utf-8"?>
<s:worksheet xmlns:r="http://schemas.openxmlformats.org/officeDocument/2006/relationships" xmlns:s="http://schemas.openxmlformats.org/spreadsheetml/2006/main">
  <s:sheetPr>
    <s:outlinePr summaryBelow="1" summaryRight="0"/>
    <s:pageSetUpPr fitToPage="1"/>
  </s:sheetPr>
  <s:dimension ref="A1:D31"/>
  <s:sheetViews>
    <s:sheetView showGridLines="0" topLeftCell="A16" workbookViewId="0">
      <s:pane ySplit="8" topLeftCell="A9" activePane="bottomLeft" state="frozen"/>
      <s:selection pane="bottomLeft" activeCell="G50" sqref="G50"/>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CE04 — Consultar fornecedores externos</s:t>
        </s:is>
      </s:c>
    </s:row>
    <s:row r="2" ht="32" customHeight="1">
      <s:c r="A2" s="81" t="inlineStr">
        <s:is>
          <s:t>Tipo e finalidade</s:t>
        </s:is>
      </s:c>
      <s:c r="B2" s="82" t="inlineStr">
        <s:is>
          <s:t>CE · Consultar fornecedores externos</s:t>
        </s:is>
      </s:c>
    </s:row>
    <s:row r="3" ht="32" customHeight="1">
      <s:c r="A3" s="81" t="inlineStr">
        <s:is>
          <s:t>Evidência</s:t>
        </s:is>
      </s:c>
      <s:c r="B3" s="82" t="inlineStr">
        <s:is>
          <s:t>GET /fornecedores?q=; AnaliseService.consultar; FornecedorGateway · /fornecedores</s:t>
        </s:is>
      </s:c>
    </s:row>
    <s:row r="4" ht="32" customHeight="1">
      <s:c r="A4" s="81" t="inlineStr">
        <s:is>
          <s:t>Arquivos e itens</s:t>
        </s:is>
      </s:c>
      <s:c r="B4" s="82" t="inlineStr">
        <s:is>
          <s:t>X01</s:t>
        </s:is>
      </s:c>
    </s:row>
    <s:row r="5" ht="40" customHeight="1">
      <s:c r="A5" s="81" t="inlineStr">
        <s:is>
          <s:t>Classificação / regra</s:t>
        </s:is>
      </s:c>
      <s:c r="B5" s="82" t="inlineStr">
        <s:is>
          <s:t>Entrada e saída são um único processo: recupera dados, sem derivação e sem manutenção de arquivos.</s:t>
        </s:is>
      </s:c>
    </s:row>
    <s:row r="6" ht="55" customHeight="1">
      <s:c r="A6" s="81" t="inlineStr">
        <s:is>
          <s:t>Contagem</s:t>
        </s:is>
      </s:c>
      <s:c r="B6" s="82" t="inlineStr">
        <s:is>
          <s:t>Um conjunto de comandos e um campo de feedback. Textos alternativos de sucesso/erro não são campos independentes. Dados repetidos contam uma vez. Sessão, CSRF e chave técnica de idempotência excluídos.</s:t>
        </s:is>
      </s:c>
    </s:row>
    <s:row r="7" ht="40" customHeight="1">
      <s:c r="A7" s="81" t="inlineStr">
        <s:is>
          <s:t>Fluxo e exceções</s:t>
        </s:is>
      </s:c>
      <s:c r="B7" s="82" t="inlineStr">
        <s:is>
          <s:t xml:space="preserve">Sem resultados: mensagem de ausência. Erros de entrada são informados; consultas não alteram dados. </s:t>
        </s:is>
      </s:c>
    </s:row>
    <s:row r="8"/>
    <s:row r="9" ht="30" customHeight="1">
      <s:c r="A9" s="83" t="inlineStr">
        <s:is>
          <s:t>Arquivo / origem</s:t>
        </s:is>
      </s:c>
      <s:c r="B9" s="83" t="inlineStr">
        <s:is>
          <s:t>Dado que cruza a fronteira</s:t>
        </s:is>
      </s:c>
      <s:c r="C9" s="83" t="inlineStr">
        <s:is>
          <s:t>Uso no processo</s:t>
        </s:is>
      </s:c>
      <s:c r="D9" s="83" t="inlineStr">
        <s:is>
          <s:t>DER contado</s:t>
        </s:is>
      </s:c>
    </s:row>
    <s:row r="10" ht="32" customHeight="1">
      <s:c r="A10" s="82" t="inlineStr">
        <s:is>
          <s:t>X01</s:t>
        </s:is>
      </s:c>
      <s:c r="B10" s="82" t="inlineStr">
        <s:is>
          <s:t>filtro código, nome ou documento</s:t>
        </s:is>
      </s:c>
      <s:c r="C10" s="82" t="inlineStr">
        <s:is>
          <s:t>Entrada</s:t>
        </s:is>
      </s:c>
      <s:c r="D10" s="82" t="n">
        <s:v>1</s:v>
      </s:c>
    </s:row>
    <s:row r="11" ht="32" customHeight="1">
      <s:c r="A11" s="82" t="inlineStr">
        <s:is>
          <s:t>X01</s:t>
        </s:is>
      </s:c>
      <s:c r="B11" s="82" t="inlineStr">
        <s:is>
          <s:t>código</s:t>
        </s:is>
      </s:c>
      <s:c r="C11" s="82" t="inlineStr">
        <s:is>
          <s:t>Saída</s:t>
        </s:is>
      </s:c>
      <s:c r="D11" s="82" t="n">
        <s:v>1</s:v>
      </s:c>
    </s:row>
    <s:row r="12" ht="32" customHeight="1">
      <s:c r="A12" s="82" t="inlineStr">
        <s:is>
          <s:t>X01</s:t>
        </s:is>
      </s:c>
      <s:c r="B12" s="82" t="inlineStr">
        <s:is>
          <s:t>nome</s:t>
        </s:is>
      </s:c>
      <s:c r="C12" s="82" t="inlineStr">
        <s:is>
          <s:t>Saída</s:t>
        </s:is>
      </s:c>
      <s:c r="D12" s="82" t="n">
        <s:v>1</s:v>
      </s:c>
    </s:row>
    <s:row r="13" ht="32" customHeight="1">
      <s:c r="A13" s="82" t="inlineStr">
        <s:is>
          <s:t>X01</s:t>
        </s:is>
      </s:c>
      <s:c r="B13" s="82" t="inlineStr">
        <s:is>
          <s:t>documento</s:t>
        </s:is>
      </s:c>
      <s:c r="C13" s="82" t="inlineStr">
        <s:is>
          <s:t>Saída</s:t>
        </s:is>
      </s:c>
      <s:c r="D13" s="82" t="n">
        <s:v>1</s:v>
      </s:c>
    </s:row>
    <s:row r="14" ht="32" customHeight="1">
      <s:c r="A14" s="82" t="inlineStr">
        <s:is>
          <s:t>X01</s:t>
        </s:is>
      </s:c>
      <s:c r="B14" s="82" t="inlineStr">
        <s:is>
          <s:t>e-mail</s:t>
        </s:is>
      </s:c>
      <s:c r="C14" s="82" t="inlineStr">
        <s:is>
          <s:t>Saída</s:t>
        </s:is>
      </s:c>
      <s:c r="D14" s="82" t="n">
        <s:v>1</s:v>
      </s:c>
    </s:row>
    <s:row r="15" ht="32" customHeight="1">
      <s:c r="A15" s="82" t="inlineStr">
        <s:is>
          <s:t>X01</s:t>
        </s:is>
      </s:c>
      <s:c r="B15" s="82" t="inlineStr">
        <s:is>
          <s:t>telefone</s:t>
        </s:is>
      </s:c>
      <s:c r="C15" s="82" t="inlineStr">
        <s:is>
          <s:t>Saída</s:t>
        </s:is>
      </s:c>
      <s:c r="D15" s="82" t="n">
        <s:v>1</s:v>
      </s:c>
    </s:row>
    <s:row r="16" ht="32" customHeight="1">
      <s:c r="A16" s="82" t="inlineStr">
        <s:is>
          <s:t>Interface</s:t>
        </s:is>
      </s:c>
      <s:c r="B16" s="82" t="inlineStr">
        <s:is>
          <s:t>acionamento</s:t>
        </s:is>
      </s:c>
      <s:c r="C16" s="82" t="inlineStr">
        <s:is>
          <s:t>Controle</s:t>
        </s:is>
      </s:c>
      <s:c r="D16" s="82" t="n">
        <s:v>1</s:v>
      </s:c>
    </s:row>
    <s:row r="17" ht="32" customHeight="1">
      <s:c r="A17" s="82" t="inlineStr">
        <s:is>
          <s:t>Interface</s:t>
        </s:is>
      </s:c>
      <s:c r="B17" s="82" t="inlineStr">
        <s:is>
          <s:t>mensagem de resultado</s:t>
        </s:is>
      </s:c>
      <s:c r="C17" s="82" t="inlineStr">
        <s:is>
          <s:t>Controle</s:t>
        </s:is>
      </s:c>
      <s:c r="D17" s="82" t="n">
        <s:v>1</s:v>
      </s:c>
    </s:row>
    <s:row r="18"/>
    <s:row r="19" ht="30" customHeight="1">
      <s:c r="A19" s="83" t="inlineStr">
        <s:is>
          <s:t>Arquivos referenciados</s:t>
        </s:is>
      </s:c>
      <s:c r="B19" s="83" t="inlineStr">
        <s:is>
          <s:t>Grupo lógico</s:t>
        </s:is>
      </s:c>
      <s:c r="C19" s="83" t="inlineStr">
        <s:is>
          <s:t>Uso</s:t>
        </s:is>
      </s:c>
      <s:c r="D19" s="83" t="inlineStr"/>
    </s:row>
    <s:row r="20" ht="32" customHeight="1">
      <s:c r="A20" s="82" t="inlineStr">
        <s:is>
          <s:t>X01</s:t>
        </s:is>
      </s:c>
      <s:c r="B20" s="82" t="inlineStr">
        <s:is>
          <s:t>Fornecedores externos</s:t>
        </s:is>
      </s:c>
      <s:c r="C20" s="82" t="inlineStr">
        <s:is>
          <s:t>Ver itens referenciados acima</s:t>
        </s:is>
      </s:c>
    </s:row>
    <s:row r="21"/>
    <s:row r="22">
      <s:c r="A22" s="82" t="inlineStr">
        <s:is>
          <s:t>Contagem</s:t>
        </s:is>
      </s:c>
      <s:c r="B22" s="82" t="inlineStr">
        <s:is>
          <s:t>Arquivos referenciados</s:t>
        </s:is>
      </s:c>
      <s:c r="C22" s="82">
        <s:f>COUNTA(A20:A20)</s:f>
        <s:v>1</s:v>
      </s:c>
    </s:row>
    <s:row r="23">
      <s:c r="A23" s="82" t="inlineStr">
        <s:is>
          <s:t>Contagem</s:t>
        </s:is>
      </s:c>
      <s:c r="B23" s="82" t="inlineStr">
        <s:is>
          <s:t>Itens distintos (TD/DER)</s:t>
        </s:is>
      </s:c>
      <s:c r="C23" s="82">
        <s:f>IF(COUNT(D10:D17)&lt;&gt;ROWS(D10:D17),"Dados pendentes",IF(COUNTIF(D10:D17,0)+COUNTIF(D10:D17,1)&lt;&gt;ROWS(D10:D17),"Revisar DER",SUM(D10:D17)))</s:f>
        <s:v>8</s:v>
      </s:c>
    </s:row>
    <s:row r="24">
      <s:c r="A24" s="82" t="inlineStr">
        <s:is>
          <s:t>TD da entrada</s:t>
        </s:is>
      </s:c>
      <s:c r="C24" s="82">
        <s:f>COUNTIF(C10:C17,"Entrada")+COUNTIF(C10:C17,"Entrada e saída")+COUNTIF(C10:C17,"Controle")</s:f>
        <s:v>3</s:v>
      </s:c>
    </s:row>
    <s:row r="25">
      <s:c r="A25" s="82" t="inlineStr">
        <s:is>
          <s:t>TD da saída sem repetição</s:t>
        </s:is>
      </s:c>
      <s:c r="C25" s="82">
        <s:f>COUNTIF(C10:C17,"Saída")</s:f>
        <s:v>5</s:v>
      </s:c>
    </s:row>
    <s:row r="26">
      <s:c r="A26" s="82" t="inlineStr">
        <s:is>
          <s:t>Complexidade entrada</s:t>
        </s:is>
      </s:c>
      <s:c r="B26" s="82" t="str">
        <s:f>IF(OR(NOT(ISNUMBER(C22)),NOT(ISNUMBER(C24)),C22&lt;=0,C24&lt;=0),"Dados pendentes",IF(C24&lt;=4,IF(C22&lt;=2,"Simples","Moderado"),IF(C24&lt;=15,IF(C22&lt;=1,"Simples",IF(C22=2,"Moderado","Complexo")),IF(C22&lt;=1,"Moderado","Complexo"))))</s:f>
        <s:v>Simples</s:v>
      </s:c>
    </s:row>
    <s:row r="27">
      <s:c r="A27" s="82" t="inlineStr">
        <s:is>
          <s:t>Complexidade saída</s:t>
        </s:is>
      </s:c>
      <s:c r="B27" s="82" t="str">
        <s:f>IF(OR(NOT(ISNUMBER(C22)),NOT(ISNUMBER(C25)),C22&lt;=0,C25&lt;=0),"Dados pendentes",IF(C25&lt;=5,IF(C22&lt;=3,"Simples","Moderado"),IF(C25&lt;=19,IF(C22&lt;=1,"Simples",IF(C22&lt;=3,"Moderado","Complexo")),IF(C22&lt;=1,"Moderado","Complexo"))))</s:f>
        <s:v>Simples</s:v>
      </s:c>
    </s:row>
    <s:row r="28">
      <s:c r="A28" s="82" t="inlineStr">
        <s:is>
          <s:t>Maior complexidade</s:t>
        </s:is>
      </s:c>
      <s:c r="B28" s="82" t="str">
        <s:f>IF(OR(B26="Complexo",B27="Complexo"),"Complexo",IF(OR(B26="Moderado",B27="Moderado"),"Moderado",IF(AND(B26="Simples",B27="Simples"),"Simples","Dados pendentes")))</s:f>
        <s:v>Simples</s:v>
      </s:c>
    </s:row>
    <s:row r="29">
      <s:c r="A29" s="82" t="inlineStr">
        <s:is>
          <s:t>Tamanho (PF)</s:t>
        </s:is>
      </s:c>
      <s:c r="B29" s="82">
        <s:f>IF(B28="Simples",3,IF(B28="Moderado",4,IF(B28="Complexo",6,"Dados pendentes")))</s:f>
        <s:v>3</s:v>
      </s:c>
    </s:row>
    <s:row r="30"/>
    <s:row r="31" ht="40" customHeight="1">
      <s:c r="A31" s="81" t="inlineStr">
        <s:is>
          <s:t>Protótipo</s:t>
        </s:is>
      </s:c>
      <s:c r="B31" s="82" t="inlineStr">
        <s:is>
          <s:t>Baixa fidelidade baseada na interface implementada. Exemplos ilustrativos; dados de demonstração não comprovam autoria. /fornecedores</s:t>
        </s:is>
      </s:c>
    </s:row>
    <s:row r="34" ht="15" customHeight="1"/>
    <s:row r="35" ht="15" customHeight="1"/>
    <s:row r="36" ht="15" customHeight="1"/>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5" ht="15" customHeight="1"/>
    <s:row r="56" ht="15" customHeight="1"/>
    <s:row r="57" ht="15" customHeight="1"/>
    <s:row r="58" ht="15" customHeight="1"/>
    <s:row r="59" ht="15" customHeight="1"/>
    <s:row r="60" ht="15" customHeight="1"/>
    <s:row r="61" ht="15" customHeight="1"/>
    <s:row r="62" ht="15" customHeight="1"/>
    <s:row r="63" ht="15" customHeight="1"/>
    <s:row r="64" ht="15" customHeight="1"/>
    <s:row r="65" ht="15" customHeight="1"/>
    <s:row r="66" ht="15" customHeight="1"/>
    <s:row r="67" ht="15" customHeight="1"/>
    <s:row r="68" ht="15" customHeight="1"/>
    <s:row r="69" ht="15" customHeight="1"/>
    <s:row r="70" ht="15" customHeight="1"/>
    <s:row r="71" ht="15" customHeight="1"/>
    <s:row r="72" ht="15" customHeight="1"/>
    <s:row r="73" ht="15" customHeight="1"/>
    <s:row r="74" ht="15" customHeight="1"/>
    <s:row r="75" ht="15" customHeight="1"/>
    <s:row r="76" ht="15" customHeight="1"/>
    <s:row r="77" ht="15" customHeight="1"/>
    <s:row r="78" ht="15" customHeight="1"/>
    <s:row r="79" ht="15" customHeight="1"/>
    <s:row r="80" ht="15" customHeight="1"/>
    <s:row r="81" ht="15" customHeight="1"/>
  </s:sheetData>
  <s:mergeCells count="8">
    <s:mergeCell ref="A1:D1"/>
    <s:mergeCell ref="B3:D3"/>
    <s:mergeCell ref="B5:D5"/>
    <s:mergeCell ref="B31:D31"/>
    <s:mergeCell ref="B4:D4"/>
    <s:mergeCell ref="B2:D2"/>
    <s:mergeCell ref="B7:D7"/>
    <s:mergeCell ref="B6:D6"/>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32" min="0" max="16383" man="1"/>
  </s:rowBreaks>
  <s:drawing r:id="rId1"/>
</s:worksheet>
</file>

<file path=xl/worksheets/sheet11.xml><?xml version="1.0" encoding="utf-8"?>
<s:worksheet xmlns:r="http://schemas.openxmlformats.org/officeDocument/2006/relationships" xmlns:s="http://schemas.openxmlformats.org/spreadsheetml/2006/main">
  <s:sheetPr>
    <s:outlinePr summaryBelow="1" summaryRight="0"/>
    <s:pageSetUpPr fitToPage="1"/>
  </s:sheetPr>
  <s:dimension ref="A1:D34"/>
  <s:sheetViews>
    <s:sheetView showGridLines="0" topLeftCell="A24" workbookViewId="0">
      <s:pane ySplit="8" topLeftCell="A9" activePane="bottomLeft" state="frozen"/>
      <s:selection pane="bottomLeft" activeCell="G50" sqref="G50"/>
    </s:sheetView>
  </s:sheetViews>
  <s:sheetFormatPr baseColWidth="8" defaultRowHeight="15"/>
  <s:cols>
    <s:col width="24" customWidth="1" min="1" max="1"/>
    <s:col width="44" customWidth="1" min="2" max="2"/>
    <s:col width="26" customWidth="1" min="3" max="3"/>
    <s:col width="43" customWidth="1" min="4" max="4"/>
    <s:col width="9.7109375" customWidth="1" min="5" max="16"/>
  </s:cols>
  <s:sheetData>
    <s:row r="1" ht="32" customHeight="1">
      <s:c r="A1" s="80" t="inlineStr">
        <s:is>
          <s:t>CE12 — Consultar ofertas externas</s:t>
        </s:is>
      </s:c>
    </s:row>
    <s:row r="2" ht="32" customHeight="1">
      <s:c r="A2" s="81" t="inlineStr">
        <s:is>
          <s:t>Tipo e finalidade</s:t>
        </s:is>
      </s:c>
      <s:c r="B2" s="82" t="inlineStr">
        <s:is>
          <s:t>CE · Consultar ofertas externas</s:t>
        </s:is>
      </s:c>
    </s:row>
    <s:row r="3" ht="32" customHeight="1">
      <s:c r="A3" s="81" t="inlineStr">
        <s:is>
          <s:t>Evidência</s:t>
        </s:is>
      </s:c>
      <s:c r="B3" s="82" t="inlineStr">
        <s:is>
          <s:t>GET /ofertas; OfertaService.consultar; OfertaGateway; external/ofertas/Provedor.java · /ofertas</s:t>
        </s:is>
      </s:c>
    </s:row>
    <s:row r="4" ht="40" customHeight="1">
      <s:c r="A4" s="81" t="inlineStr">
        <s:is>
          <s:t>Arquivos e itens</s:t>
        </s:is>
      </s:c>
      <s:c r="B4" s="82" t="inlineStr">
        <s:is>
          <s:t>X02: nove campos da oferta. Filtros exatos opcionais combinados por GTIN e código do fornecedor. Não mantém arquivos nem deriva dados.</s:t>
        </s:is>
      </s:c>
    </s:row>
    <s:row r="5" ht="40" customHeight="1">
      <s:c r="A5" s="81" t="inlineStr">
        <s:is>
          <s:t>Classificação / regra</s:t>
        </s:is>
      </s:c>
      <s:c r="B5" s="82" t="inlineStr">
        <s:is>
          <s:t>Entrada e saída são um único processo: recupera dados, sem derivação e sem manutenção de arquivos.</s:t>
        </s:is>
      </s:c>
    </s:row>
    <s:row r="6" ht="55" customHeight="1">
      <s:c r="A6" s="81" t="inlineStr">
        <s:is>
          <s:t>Contagem</s:t>
        </s:is>
      </s:c>
      <s:c r="B6" s="82" t="inlineStr">
        <s:is>
          <s:t>Um conjunto de comandos e um campo de feedback. Textos alternativos de sucesso/erro não são campos independentes. Dados repetidos contam uma vez. Sessão, CSRF e chave técnica de idempotência excluídos.</s:t>
        </s:is>
      </s:c>
    </s:row>
    <s:row r="7" ht="40" customHeight="1">
      <s:c r="A7" s="81" t="inlineStr">
        <s:is>
          <s:t>Fluxo e exceções</s:t>
        </s:is>
      </s:c>
      <s:c r="B7" s="82" t="inlineStr">
        <s:is>
          <s:t xml:space="preserve">Sem resultados: mensagem de ausência. Erros de entrada são informados; consultas não alteram dados. </s:t>
        </s:is>
      </s:c>
    </s:row>
    <s:row r="8"/>
    <s:row r="9" ht="30" customHeight="1">
      <s:c r="A9" s="83" t="inlineStr">
        <s:is>
          <s:t>Arquivo / origem</s:t>
        </s:is>
      </s:c>
      <s:c r="B9" s="83" t="inlineStr">
        <s:is>
          <s:t>Dado que cruza a fronteira</s:t>
        </s:is>
      </s:c>
      <s:c r="C9" s="83" t="inlineStr">
        <s:is>
          <s:t>Uso no processo</s:t>
        </s:is>
      </s:c>
      <s:c r="D9" s="83" t="inlineStr">
        <s:is>
          <s:t>DER contado</s:t>
        </s:is>
      </s:c>
    </s:row>
    <s:row r="10" ht="32" customHeight="1">
      <s:c r="A10" s="82" t="inlineStr">
        <s:is>
          <s:t>X02</s:t>
        </s:is>
      </s:c>
      <s:c r="B10" s="82" t="inlineStr">
        <s:is>
          <s:t>GTIN</s:t>
        </s:is>
      </s:c>
      <s:c r="C10" s="82" t="inlineStr">
        <s:is>
          <s:t>Entrada e saída</s:t>
        </s:is>
      </s:c>
      <s:c r="D10" s="82" t="n">
        <s:v>1</s:v>
      </s:c>
    </s:row>
    <s:row r="11" ht="32" customHeight="1">
      <s:c r="A11" s="82" t="inlineStr">
        <s:is>
          <s:t>X02</s:t>
        </s:is>
      </s:c>
      <s:c r="B11" s="82" t="inlineStr">
        <s:is>
          <s:t>código do fornecedor</s:t>
        </s:is>
      </s:c>
      <s:c r="C11" s="82" t="inlineStr">
        <s:is>
          <s:t>Entrada e saída</s:t>
        </s:is>
      </s:c>
      <s:c r="D11" s="82" t="n">
        <s:v>1</s:v>
      </s:c>
    </s:row>
    <s:row r="12" ht="32" customHeight="1">
      <s:c r="A12" s="82" t="inlineStr">
        <s:is>
          <s:t>X02</s:t>
        </s:is>
      </s:c>
      <s:c r="B12" s="82" t="inlineStr">
        <s:is>
          <s:t>SKU externo</s:t>
        </s:is>
      </s:c>
      <s:c r="C12" s="82" t="inlineStr">
        <s:is>
          <s:t>Saída</s:t>
        </s:is>
      </s:c>
      <s:c r="D12" s="82" t="n">
        <s:v>1</s:v>
      </s:c>
    </s:row>
    <s:row r="13" ht="32" customHeight="1">
      <s:c r="A13" s="82" t="inlineStr">
        <s:is>
          <s:t>X02</s:t>
        </s:is>
      </s:c>
      <s:c r="B13" s="82" t="inlineStr">
        <s:is>
          <s:t>descrição</s:t>
        </s:is>
      </s:c>
      <s:c r="C13" s="82" t="inlineStr">
        <s:is>
          <s:t>Saída</s:t>
        </s:is>
      </s:c>
      <s:c r="D13" s="82" t="n">
        <s:v>1</s:v>
      </s:c>
    </s:row>
    <s:row r="14" ht="32" customHeight="1">
      <s:c r="A14" s="82" t="inlineStr">
        <s:is>
          <s:t>X02</s:t>
        </s:is>
      </s:c>
      <s:c r="B14" s="82" t="inlineStr">
        <s:is>
          <s:t>marca</s:t>
        </s:is>
      </s:c>
      <s:c r="C14" s="82" t="inlineStr">
        <s:is>
          <s:t>Saída</s:t>
        </s:is>
      </s:c>
      <s:c r="D14" s="82" t="n">
        <s:v>1</s:v>
      </s:c>
    </s:row>
    <s:row r="15" ht="32" customHeight="1">
      <s:c r="A15" s="82" t="inlineStr">
        <s:is>
          <s:t>X02</s:t>
        </s:is>
      </s:c>
      <s:c r="B15" s="82" t="inlineStr">
        <s:is>
          <s:t>unidade</s:t>
        </s:is>
      </s:c>
      <s:c r="C15" s="82" t="inlineStr">
        <s:is>
          <s:t>Saída</s:t>
        </s:is>
      </s:c>
      <s:c r="D15" s="82" t="n">
        <s:v>1</s:v>
      </s:c>
    </s:row>
    <s:row r="16" ht="32" customHeight="1">
      <s:c r="A16" s="82" t="inlineStr">
        <s:is>
          <s:t>X02</s:t>
        </s:is>
      </s:c>
      <s:c r="B16" s="82" t="inlineStr">
        <s:is>
          <s:t>preço cotado</s:t>
        </s:is>
      </s:c>
      <s:c r="C16" s="82" t="inlineStr">
        <s:is>
          <s:t>Saída</s:t>
        </s:is>
      </s:c>
      <s:c r="D16" s="82" t="n">
        <s:v>1</s:v>
      </s:c>
    </s:row>
    <s:row r="17" ht="32" customHeight="1">
      <s:c r="A17" s="82" t="inlineStr">
        <s:is>
          <s:t>X02</s:t>
        </s:is>
      </s:c>
      <s:c r="B17" s="82" t="inlineStr">
        <s:is>
          <s:t>disponibilidade</s:t>
        </s:is>
      </s:c>
      <s:c r="C17" s="82" t="inlineStr">
        <s:is>
          <s:t>Saída</s:t>
        </s:is>
      </s:c>
      <s:c r="D17" s="82" t="n">
        <s:v>1</s:v>
      </s:c>
    </s:row>
    <s:row r="18" ht="32" customHeight="1">
      <s:c r="A18" s="82" t="inlineStr">
        <s:is>
          <s:t>X02</s:t>
        </s:is>
      </s:c>
      <s:c r="B18" s="82" t="inlineStr">
        <s:is>
          <s:t>data de atualização</s:t>
        </s:is>
      </s:c>
      <s:c r="C18" s="82" t="inlineStr">
        <s:is>
          <s:t>Saída</s:t>
        </s:is>
      </s:c>
      <s:c r="D18" s="82" t="n">
        <s:v>1</s:v>
      </s:c>
    </s:row>
    <s:row r="19" ht="32" customHeight="1">
      <s:c r="A19" s="82" t="inlineStr">
        <s:is>
          <s:t>Interface</s:t>
        </s:is>
      </s:c>
      <s:c r="B19" s="82" t="inlineStr">
        <s:is>
          <s:t>acionamento</s:t>
        </s:is>
      </s:c>
      <s:c r="C19" s="82" t="inlineStr">
        <s:is>
          <s:t>Controle</s:t>
        </s:is>
      </s:c>
      <s:c r="D19" s="82" t="n">
        <s:v>1</s:v>
      </s:c>
    </s:row>
    <s:row r="20" ht="32" customHeight="1">
      <s:c r="A20" s="82" t="inlineStr">
        <s:is>
          <s:t>Interface</s:t>
        </s:is>
      </s:c>
      <s:c r="B20" s="82" t="inlineStr">
        <s:is>
          <s:t>mensagem de resultado</s:t>
        </s:is>
      </s:c>
      <s:c r="C20" s="82" t="inlineStr">
        <s:is>
          <s:t>Controle</s:t>
        </s:is>
      </s:c>
      <s:c r="D20" s="82" t="n">
        <s:v>1</s:v>
      </s:c>
    </s:row>
    <s:row r="21"/>
    <s:row r="22" ht="30" customHeight="1">
      <s:c r="A22" s="83" t="inlineStr">
        <s:is>
          <s:t>Arquivos referenciados</s:t>
        </s:is>
      </s:c>
      <s:c r="B22" s="83" t="inlineStr">
        <s:is>
          <s:t>Grupo lógico</s:t>
        </s:is>
      </s:c>
      <s:c r="C22" s="83" t="inlineStr">
        <s:is>
          <s:t>Uso</s:t>
        </s:is>
      </s:c>
      <s:c r="D22" s="83" t="inlineStr"/>
    </s:row>
    <s:row r="23" ht="32" customHeight="1">
      <s:c r="A23" s="82" t="inlineStr">
        <s:is>
          <s:t>X02</s:t>
        </s:is>
      </s:c>
      <s:c r="B23" s="82" t="inlineStr">
        <s:is>
          <s:t>Ofertas externas</s:t>
        </s:is>
      </s:c>
      <s:c r="C23" s="82" t="inlineStr">
        <s:is>
          <s:t>Ver itens referenciados acima</s:t>
        </s:is>
      </s:c>
    </s:row>
    <s:row r="24"/>
    <s:row r="25">
      <s:c r="A25" s="82" t="inlineStr">
        <s:is>
          <s:t>Contagem</s:t>
        </s:is>
      </s:c>
      <s:c r="B25" s="82" t="inlineStr">
        <s:is>
          <s:t>Arquivos referenciados</s:t>
        </s:is>
      </s:c>
      <s:c r="C25" s="82">
        <s:f>COUNTA(A23:A23)</s:f>
        <s:v>1</s:v>
      </s:c>
    </s:row>
    <s:row r="26">
      <s:c r="A26" s="82" t="inlineStr">
        <s:is>
          <s:t>Contagem</s:t>
        </s:is>
      </s:c>
      <s:c r="B26" s="82" t="inlineStr">
        <s:is>
          <s:t>Itens distintos (TD/DER)</s:t>
        </s:is>
      </s:c>
      <s:c r="C26" s="82">
        <s:f>IF(COUNT(D10:D20)&lt;&gt;ROWS(D10:D20),"Dados pendentes",IF(COUNTIF(D10:D20,0)+COUNTIF(D10:D20,1)&lt;&gt;ROWS(D10:D20),"Revisar DER",SUM(D10:D20)))</s:f>
        <s:v>11</s:v>
      </s:c>
    </s:row>
    <s:row r="27">
      <s:c r="A27" s="82" t="inlineStr">
        <s:is>
          <s:t>TD da entrada</s:t>
        </s:is>
      </s:c>
      <s:c r="C27" s="82">
        <s:f>COUNTIF(C10:C20,"Entrada")+COUNTIF(C10:C20,"Entrada e saída")+COUNTIF(C10:C20,"Controle")</s:f>
        <s:v>4</s:v>
      </s:c>
    </s:row>
    <s:row r="28">
      <s:c r="A28" s="82" t="inlineStr">
        <s:is>
          <s:t>TD da saída sem repetição</s:t>
        </s:is>
      </s:c>
      <s:c r="C28" s="82">
        <s:f>COUNTIF(C10:C20,"Saída")</s:f>
        <s:v>7</s:v>
      </s:c>
    </s:row>
    <s:row r="29">
      <s:c r="A29" s="82" t="inlineStr">
        <s:is>
          <s:t>Complexidade entrada</s:t>
        </s:is>
      </s:c>
      <s:c r="B29" s="82" t="str">
        <s:f>IF(OR(NOT(ISNUMBER(C25)),NOT(ISNUMBER(C27)),C25&lt;=0,C27&lt;=0),"Dados pendentes",IF(C27&lt;=4,IF(C25&lt;=2,"Simples","Moderado"),IF(C27&lt;=15,IF(C25&lt;=1,"Simples",IF(C25=2,"Moderado","Complexo")),IF(C25&lt;=1,"Moderado","Complexo"))))</s:f>
        <s:v>Simples</s:v>
      </s:c>
    </s:row>
    <s:row r="30">
      <s:c r="A30" s="82" t="inlineStr">
        <s:is>
          <s:t>Complexidade saída</s:t>
        </s:is>
      </s:c>
      <s:c r="B30" s="82" t="str">
        <s:f>IF(OR(NOT(ISNUMBER(C25)),NOT(ISNUMBER(C28)),C25&lt;=0,C28&lt;=0),"Dados pendentes",IF(C28&lt;=5,IF(C25&lt;=3,"Simples","Moderado"),IF(C28&lt;=19,IF(C25&lt;=1,"Simples",IF(C25&lt;=3,"Moderado","Complexo")),IF(C25&lt;=1,"Moderado","Complexo"))))</s:f>
        <s:v>Simples</s:v>
      </s:c>
    </s:row>
    <s:row r="31">
      <s:c r="A31" s="82" t="inlineStr">
        <s:is>
          <s:t>Maior complexidade</s:t>
        </s:is>
      </s:c>
      <s:c r="B31" s="82" t="str">
        <s:f>IF(OR(B29="Complexo",B30="Complexo"),"Complexo",IF(OR(B29="Moderado",B30="Moderado"),"Moderado",IF(AND(B29="Simples",B30="Simples"),"Simples","Dados pendentes")))</s:f>
        <s:v>Simples</s:v>
      </s:c>
    </s:row>
    <s:row r="32">
      <s:c r="A32" s="82" t="inlineStr">
        <s:is>
          <s:t>Tamanho (PF)</s:t>
        </s:is>
      </s:c>
      <s:c r="B32" s="82">
        <s:f>IF(B31="Simples",3,IF(B31="Moderado",4,IF(B31="Complexo",6,"Dados pendentes")))</s:f>
        <s:v>3</s:v>
      </s:c>
    </s:row>
    <s:row r="33"/>
    <s:row r="34" ht="40" customHeight="1">
      <s:c r="A34" s="81" t="inlineStr">
        <s:is>
          <s:t>Protótipo</s:t>
        </s:is>
      </s:c>
      <s:c r="B34" s="82" t="inlineStr">
        <s:is>
          <s:t>Baixa fidelidade baseada na interface implementada. Exemplos ilustrativos; dados de demonstração não comprovam autoria. /ofertas</s:t>
        </s:is>
      </s:c>
    </s:row>
    <s:row r="37" ht="15" customHeight="1"/>
    <s:row r="38" ht="15" customHeight="1"/>
    <s:row r="39" ht="15" customHeight="1"/>
    <s:row r="40" ht="15" customHeight="1"/>
    <s:row r="41" ht="15" customHeight="1"/>
    <s:row r="42" ht="15" customHeight="1"/>
    <s:row r="43" ht="15" customHeight="1"/>
    <s:row r="44" ht="15" customHeight="1"/>
    <s:row r="45" ht="15" customHeight="1"/>
    <s:row r="46" ht="15" customHeight="1"/>
    <s:row r="47" ht="15" customHeight="1"/>
    <s:row r="48" ht="15" customHeight="1"/>
    <s:row r="49" ht="15" customHeight="1"/>
    <s:row r="50" ht="15" customHeight="1"/>
    <s:row r="51" ht="15" customHeight="1"/>
    <s:row r="52" ht="15" customHeight="1"/>
    <s:row r="53" ht="15" customHeight="1"/>
    <s:row r="54" ht="15" customHeight="1"/>
    <s:row r="55" ht="15" customHeight="1"/>
    <s:row r="56" ht="15" customHeight="1"/>
    <s:row r="58" ht="15" customHeight="1"/>
    <s:row r="59" ht="15" customHeight="1"/>
    <s:row r="60" ht="15" customHeight="1"/>
    <s:row r="61" ht="15" customHeight="1"/>
    <s:row r="62" ht="15" customHeight="1"/>
    <s:row r="63" ht="15" customHeight="1"/>
    <s:row r="64" ht="15" customHeight="1"/>
    <s:row r="65" ht="15" customHeight="1"/>
    <s:row r="66" ht="15" customHeight="1"/>
    <s:row r="67" ht="15" customHeight="1"/>
    <s:row r="68" ht="15" customHeight="1"/>
    <s:row r="69" ht="15" customHeight="1"/>
    <s:row r="70" ht="15" customHeight="1"/>
    <s:row r="71" ht="15" customHeight="1"/>
    <s:row r="72" ht="15" customHeight="1"/>
    <s:row r="73" ht="15" customHeight="1"/>
    <s:row r="74" ht="15" customHeight="1"/>
    <s:row r="75" ht="15" customHeight="1"/>
    <s:row r="76" ht="15" customHeight="1"/>
    <s:row r="77" ht="15" customHeight="1"/>
    <s:row r="78" ht="15" customHeight="1"/>
    <s:row r="79" ht="15" customHeight="1"/>
    <s:row r="80" ht="15" customHeight="1"/>
    <s:row r="81" ht="15" customHeight="1"/>
    <s:row r="82" ht="15" customHeight="1"/>
    <s:row r="83" ht="15" customHeight="1"/>
    <s:row r="84" ht="15" customHeight="1"/>
    <s:row r="85" ht="15" customHeight="1"/>
    <s:row r="86" ht="15" customHeight="1"/>
    <s:row r="87" ht="15" customHeight="1"/>
    <s:row r="88" ht="15" customHeight="1"/>
    <s:row r="89" ht="15" customHeight="1"/>
    <s:row r="90" ht="15" customHeight="1"/>
    <s:row r="91" ht="15" customHeight="1"/>
    <s:row r="92" ht="15" customHeight="1"/>
  </s:sheetData>
  <s:mergeCells count="8">
    <s:mergeCell ref="B3:D3"/>
    <s:mergeCell ref="A1:D1"/>
    <s:mergeCell ref="B5:D5"/>
    <s:mergeCell ref="B4:D4"/>
    <s:mergeCell ref="B2:D2"/>
    <s:mergeCell ref="B6:D6"/>
    <s:mergeCell ref="B7:D7"/>
    <s:mergeCell ref="B34:D34"/>
  </s:mergeCells>
  <s:printOptions horizontalCentered="1"/>
  <s:pageMargins left="0.699999988079071" right="0.699999988079071" top="0.75" bottom="0.75" header="0.300000011920929" footer="0.300000011920929"/>
  <s:pageSetup orientation="portrait" paperSize="9" fitToHeight="0" fitToWidth="1"/>
  <s:headerFooter>
    <s:oddHeader/>
    <s:oddFooter>&amp;C&amp;8 Estoque Inteligente · &amp;P / &amp;N</s:oddFooter>
    <s:evenHeader/>
    <s:evenFooter/>
    <s:firstHeader/>
    <s:firstFooter/>
  </s:headerFooter>
  <s:rowBreaks count="1" manualBreakCount="1">
    <s:brk id="35" min="0" max="16383" man="1"/>
  </s:rowBreaks>
  <s:drawing r:id="rId1"/>
</s:worksheet>
</file>

<file path=xl/worksheets/sheet12.xml><?xml version="1.0" encoding="utf-8"?>
<s:worksheet xmlns:s="http://schemas.openxmlformats.org/spreadsheetml/2006/main">
  <s:sheetPr>
    <s:outlinePr summaryBelow="1" summaryRight="1"/>
    <s:pageSetUpPr fitToPage="1"/>
  </s:sheetPr>
  <s:dimension ref="A1:D47"/>
  <s:sheetViews>
    <s:sheetView showGridLines="0" topLeftCell="A42" workbookViewId="0">
      <s:selection activeCell="D59" sqref="D59"/>
    </s:sheetView>
  </s:sheetViews>
  <s:sheetFormatPr baseColWidth="8" defaultRowHeight="15"/>
  <s:cols>
    <s:col width="32" customWidth="1" min="1" max="1"/>
    <s:col width="18" customWidth="1" min="2" max="2"/>
    <s:col width="68" customWidth="1" min="3" max="3"/>
    <s:col width="38" customWidth="1" min="4" max="4"/>
    <s:col width="9.7109375" customWidth="1" min="5" max="16"/>
  </s:cols>
  <s:sheetData>
    <s:row r="1" ht="22.5" customHeight="1">
      <s:c r="A1" s="16" t="inlineStr">
        <s:is>
          <s:t>Critérios de classificação e estimativa didática</s:t>
        </s:is>
      </s:c>
      <s:c r="B1" s="84" t="n"/>
      <s:c r="C1" s="84" t="n"/>
      <s:c r="D1" s="85" t="n"/>
    </s:row>
    <s:row r="2" ht="57" customHeight="1">
      <s:c r="A2" s="12" t="inlineStr">
        <s:is>
          <s:t>Fronteira</s:t>
        </s:is>
      </s:c>
      <s:c r="B2" s="12" t="inlineStr">
        <s:is>
          <s:t>Material do professor Tiago Navarro em docs/pdfs: Parte I (ALI/AIE), Parte II (EE/SE), Parte III (CE), Parte IV (ajuste/estimativas) e Características Gerais do Software.</s:t>
        </s:is>
      </s:c>
      <s:c r="C2" s="84" t="n"/>
      <s:c r="D2" s="85" t="n"/>
    </s:row>
    <s:row r="3" ht="45" customHeight="1">
      <s:c r="A3" s="12" t="inlineStr">
        <s:is>
          <s:t>Convenção de contagem</s:t>
        </s:is>
      </s:c>
      <s:c r="B3" s="12" t="inlineStr">
        <s:is>
          <s:t>CE corrigida conforme autorização: avaliar entrada e saída separadamente e escolher a maior complexidade (Parte III, p. 10–12). Matriz abaixo é a da saída; entrada usa a matriz EE.</s:t>
        </s:is>
      </s:c>
      <s:c r="C3" s="84" t="n"/>
      <s:c r="D3" s="85" t="n"/>
    </s:row>
    <s:row r="4" ht="45" customHeight="1">
      <s:c r="A4" s="12" t="inlineStr">
        <s:is>
          <s:t>SE e CE</s:t>
        </s:is>
      </s:c>
      <s:c r="B4" s="12" t="inlineStr">
        <s:is>
          <s:t>Os dados recebidos e apresentados são listados por processo. Um mesmo dado de consulta e resultado é contado uma vez. As regras internas de filtro não são entradas adicionais. SE produz dado derivado; CE apenas recupera dados armazenados, sem atualização ou cálculo novo.</s:t>
        </s:is>
      </s:c>
      <s:c r="C4" s="84" t="n"/>
      <s:c r="D4" s="85" t="n"/>
    </s:row>
    <s:row r="5" ht="19.5" customHeight="1"/>
    <s:row r="6" ht="22.5" customHeight="1">
      <s:c r="A6" s="16" t="inlineStr">
        <s:is>
          <s:t>ALI - faixas de DER nas colunas</s:t>
        </s:is>
      </s:c>
      <s:c r="B6" s="84" t="n"/>
      <s:c r="C6" s="84" t="n"/>
      <s:c r="D6" s="85" t="n"/>
    </s:row>
    <s:row r="7" ht="20" customHeight="1">
      <s:c r="A7" s="16" t="inlineStr">
        <s:is>
          <s:t>RL / arquivos</s:t>
        </s:is>
      </s:c>
      <s:c r="B7" s="16" t="inlineStr">
        <s:is>
          <s:t>1 a 19</s:t>
        </s:is>
      </s:c>
      <s:c r="C7" s="16" t="inlineStr">
        <s:is>
          <s:t>20 a 50</s:t>
        </s:is>
      </s:c>
      <s:c r="D7" s="16" t="inlineStr">
        <s:is>
          <s:t>51 ou mais</s:t>
        </s:is>
      </s:c>
    </s:row>
    <s:row r="8" ht="21" customHeight="1">
      <s:c r="A8" s="12" t="inlineStr">
        <s:is>
          <s:t>1 RL</s:t>
        </s:is>
      </s:c>
      <s:c r="B8" s="12" t="inlineStr">
        <s:is>
          <s:t>Simples</s:t>
        </s:is>
      </s:c>
      <s:c r="C8" s="12" t="inlineStr">
        <s:is>
          <s:t>Simples</s:t>
        </s:is>
      </s:c>
      <s:c r="D8" s="12" t="inlineStr">
        <s:is>
          <s:t>Moderado</s:t>
        </s:is>
      </s:c>
    </s:row>
    <s:row r="9" ht="21" customHeight="1">
      <s:c r="A9" s="12" t="inlineStr">
        <s:is>
          <s:t>2 a 5 RL</s:t>
        </s:is>
      </s:c>
      <s:c r="B9" s="12" t="inlineStr">
        <s:is>
          <s:t>Simples</s:t>
        </s:is>
      </s:c>
      <s:c r="C9" s="12" t="inlineStr">
        <s:is>
          <s:t>Moderado</s:t>
        </s:is>
      </s:c>
      <s:c r="D9" s="12" t="inlineStr">
        <s:is>
          <s:t>Complexo</s:t>
        </s:is>
      </s:c>
    </s:row>
    <s:row r="10" ht="21" customHeight="1">
      <s:c r="A10" s="12" t="inlineStr">
        <s:is>
          <s:t>6 ou mais RL</s:t>
        </s:is>
      </s:c>
      <s:c r="B10" s="12" t="inlineStr">
        <s:is>
          <s:t>Moderado</s:t>
        </s:is>
      </s:c>
      <s:c r="C10" s="12" t="inlineStr">
        <s:is>
          <s:t>Complexo</s:t>
        </s:is>
      </s:c>
      <s:c r="D10" s="12" t="inlineStr">
        <s:is>
          <s:t>Complexo</s:t>
        </s:is>
      </s:c>
    </s:row>
    <s:row r="11" ht="21" customHeight="1">
      <s:c r="A11" s="12" t="inlineStr">
        <s:is>
          <s:t>Pesos em PF</s:t>
        </s:is>
      </s:c>
      <s:c r="B11" s="12" t="n">
        <s:v>7</s:v>
      </s:c>
      <s:c r="C11" s="12" t="n">
        <s:v>10</s:v>
      </s:c>
      <s:c r="D11" s="12" t="n">
        <s:v>15</s:v>
      </s:c>
    </s:row>
    <s:row r="12" ht="19.5" customHeight="1"/>
    <s:row r="13" ht="19.5" customHeight="1"/>
    <s:row r="14" ht="22.5" customHeight="1">
      <s:c r="A14" s="16" t="inlineStr">
        <s:is>
          <s:t>AIE - faixas de DER nas colunas</s:t>
        </s:is>
      </s:c>
      <s:c r="B14" s="84" t="n"/>
      <s:c r="C14" s="84" t="n"/>
      <s:c r="D14" s="85" t="n"/>
    </s:row>
    <s:row r="15" ht="20" customHeight="1">
      <s:c r="A15" s="16" t="inlineStr">
        <s:is>
          <s:t>RL / arquivos</s:t>
        </s:is>
      </s:c>
      <s:c r="B15" s="16" t="inlineStr">
        <s:is>
          <s:t>1 a 19</s:t>
        </s:is>
      </s:c>
      <s:c r="C15" s="16" t="inlineStr">
        <s:is>
          <s:t>20 a 50</s:t>
        </s:is>
      </s:c>
      <s:c r="D15" s="16" t="inlineStr">
        <s:is>
          <s:t>51 ou mais</s:t>
        </s:is>
      </s:c>
    </s:row>
    <s:row r="16" ht="21" customHeight="1">
      <s:c r="A16" s="12" t="inlineStr">
        <s:is>
          <s:t>1 RL</s:t>
        </s:is>
      </s:c>
      <s:c r="B16" s="12" t="inlineStr">
        <s:is>
          <s:t>Simples</s:t>
        </s:is>
      </s:c>
      <s:c r="C16" s="12" t="inlineStr">
        <s:is>
          <s:t>Simples</s:t>
        </s:is>
      </s:c>
      <s:c r="D16" s="12" t="inlineStr">
        <s:is>
          <s:t>Moderado</s:t>
        </s:is>
      </s:c>
    </s:row>
    <s:row r="17" ht="21" customHeight="1">
      <s:c r="A17" s="12" t="inlineStr">
        <s:is>
          <s:t>2 a 5 RL</s:t>
        </s:is>
      </s:c>
      <s:c r="B17" s="12" t="inlineStr">
        <s:is>
          <s:t>Simples</s:t>
        </s:is>
      </s:c>
      <s:c r="C17" s="12" t="inlineStr">
        <s:is>
          <s:t>Moderado</s:t>
        </s:is>
      </s:c>
      <s:c r="D17" s="12" t="inlineStr">
        <s:is>
          <s:t>Complexo</s:t>
        </s:is>
      </s:c>
    </s:row>
    <s:row r="18" ht="21" customHeight="1">
      <s:c r="A18" s="12" t="inlineStr">
        <s:is>
          <s:t>6 ou mais RL</s:t>
        </s:is>
      </s:c>
      <s:c r="B18" s="12" t="inlineStr">
        <s:is>
          <s:t>Moderado</s:t>
        </s:is>
      </s:c>
      <s:c r="C18" s="12" t="inlineStr">
        <s:is>
          <s:t>Complexo</s:t>
        </s:is>
      </s:c>
      <s:c r="D18" s="12" t="inlineStr">
        <s:is>
          <s:t>Complexo</s:t>
        </s:is>
      </s:c>
    </s:row>
    <s:row r="19" ht="21" customHeight="1">
      <s:c r="A19" s="12" t="inlineStr">
        <s:is>
          <s:t>Pesos em PF</s:t>
        </s:is>
      </s:c>
      <s:c r="B19" s="12" t="n">
        <s:v>5</s:v>
      </s:c>
      <s:c r="C19" s="12" t="n">
        <s:v>7</s:v>
      </s:c>
      <s:c r="D19" s="12" t="n">
        <s:v>10</s:v>
      </s:c>
    </s:row>
    <s:row r="20" ht="19.5" customHeight="1"/>
    <s:row r="21" ht="19.5" customHeight="1"/>
    <s:row r="22" ht="22.5" customHeight="1">
      <s:c r="A22" s="16" t="inlineStr">
        <s:is>
          <s:t>EE - faixas de DER nas colunas</s:t>
        </s:is>
      </s:c>
      <s:c r="B22" s="84" t="n"/>
      <s:c r="C22" s="84" t="n"/>
      <s:c r="D22" s="85" t="n"/>
    </s:row>
    <s:row r="23" ht="20" customHeight="1">
      <s:c r="A23" s="16" t="inlineStr">
        <s:is>
          <s:t>RL / arquivos</s:t>
        </s:is>
      </s:c>
      <s:c r="B23" s="16" t="inlineStr">
        <s:is>
          <s:t>1 a 4</s:t>
        </s:is>
      </s:c>
      <s:c r="C23" s="16" t="inlineStr">
        <s:is>
          <s:t>5 a 15</s:t>
        </s:is>
      </s:c>
      <s:c r="D23" s="16" t="inlineStr">
        <s:is>
          <s:t>16 ou mais</s:t>
        </s:is>
      </s:c>
    </s:row>
    <s:row r="24" ht="21" customHeight="1">
      <s:c r="A24" s="12" t="inlineStr">
        <s:is>
          <s:t>0 ou 1 arquivo</s:t>
        </s:is>
      </s:c>
      <s:c r="B24" s="12" t="inlineStr">
        <s:is>
          <s:t>Simples</s:t>
        </s:is>
      </s:c>
      <s:c r="C24" s="12" t="inlineStr">
        <s:is>
          <s:t>Simples</s:t>
        </s:is>
      </s:c>
      <s:c r="D24" s="12" t="inlineStr">
        <s:is>
          <s:t>Moderado</s:t>
        </s:is>
      </s:c>
    </s:row>
    <s:row r="25" ht="21" customHeight="1">
      <s:c r="A25" s="12" t="inlineStr">
        <s:is>
          <s:t>2 arquivos</s:t>
        </s:is>
      </s:c>
      <s:c r="B25" s="12" t="inlineStr">
        <s:is>
          <s:t>Simples</s:t>
        </s:is>
      </s:c>
      <s:c r="C25" s="12" t="inlineStr">
        <s:is>
          <s:t>Moderado</s:t>
        </s:is>
      </s:c>
      <s:c r="D25" s="12" t="inlineStr">
        <s:is>
          <s:t>Complexo</s:t>
        </s:is>
      </s:c>
    </s:row>
    <s:row r="26" ht="21" customHeight="1">
      <s:c r="A26" s="12" t="inlineStr">
        <s:is>
          <s:t>3 ou mais arquivos</s:t>
        </s:is>
      </s:c>
      <s:c r="B26" s="12" t="inlineStr">
        <s:is>
          <s:t>Moderado</s:t>
        </s:is>
      </s:c>
      <s:c r="C26" s="12" t="inlineStr">
        <s:is>
          <s:t>Complexo</s:t>
        </s:is>
      </s:c>
      <s:c r="D26" s="12" t="inlineStr">
        <s:is>
          <s:t>Complexo</s:t>
        </s:is>
      </s:c>
    </s:row>
    <s:row r="27" ht="21" customHeight="1">
      <s:c r="A27" s="12" t="inlineStr">
        <s:is>
          <s:t>Pesos em PF</s:t>
        </s:is>
      </s:c>
      <s:c r="B27" s="12" t="n">
        <s:v>3</s:v>
      </s:c>
      <s:c r="C27" s="12" t="n">
        <s:v>4</s:v>
      </s:c>
      <s:c r="D27" s="12" t="n">
        <s:v>6</s:v>
      </s:c>
    </s:row>
    <s:row r="28" ht="19.5" customHeight="1"/>
    <s:row r="29" ht="19.5" customHeight="1"/>
    <s:row r="30" ht="22.5" customHeight="1">
      <s:c r="A30" s="16" t="inlineStr">
        <s:is>
          <s:t>SE - faixas de DER nas colunas</s:t>
        </s:is>
      </s:c>
      <s:c r="B30" s="84" t="n"/>
      <s:c r="C30" s="84" t="n"/>
      <s:c r="D30" s="85" t="n"/>
    </s:row>
    <s:row r="31" ht="20" customHeight="1">
      <s:c r="A31" s="16" t="inlineStr">
        <s:is>
          <s:t>RL / arquivos</s:t>
        </s:is>
      </s:c>
      <s:c r="B31" s="16" t="inlineStr">
        <s:is>
          <s:t>1 a 5</s:t>
        </s:is>
      </s:c>
      <s:c r="C31" s="16" t="inlineStr">
        <s:is>
          <s:t>6 a 19</s:t>
        </s:is>
      </s:c>
      <s:c r="D31" s="16" t="inlineStr">
        <s:is>
          <s:t>20 ou mais</s:t>
        </s:is>
      </s:c>
    </s:row>
    <s:row r="32" ht="21" customHeight="1">
      <s:c r="A32" s="12" t="inlineStr">
        <s:is>
          <s:t>0 ou 1 arquivo</s:t>
        </s:is>
      </s:c>
      <s:c r="B32" s="12" t="inlineStr">
        <s:is>
          <s:t>Simples</s:t>
        </s:is>
      </s:c>
      <s:c r="C32" s="12" t="inlineStr">
        <s:is>
          <s:t>Simples</s:t>
        </s:is>
      </s:c>
      <s:c r="D32" s="12" t="inlineStr">
        <s:is>
          <s:t>Moderado</s:t>
        </s:is>
      </s:c>
    </s:row>
    <s:row r="33" ht="21" customHeight="1">
      <s:c r="A33" s="12" t="inlineStr">
        <s:is>
          <s:t>2 a 3 arquivos</s:t>
        </s:is>
      </s:c>
      <s:c r="B33" s="12" t="inlineStr">
        <s:is>
          <s:t>Simples</s:t>
        </s:is>
      </s:c>
      <s:c r="C33" s="12" t="inlineStr">
        <s:is>
          <s:t>Moderado</s:t>
        </s:is>
      </s:c>
      <s:c r="D33" s="12" t="inlineStr">
        <s:is>
          <s:t>Complexo</s:t>
        </s:is>
      </s:c>
    </s:row>
    <s:row r="34" ht="21" customHeight="1">
      <s:c r="A34" s="12" t="inlineStr">
        <s:is>
          <s:t>4 ou mais arquivos</s:t>
        </s:is>
      </s:c>
      <s:c r="B34" s="12" t="inlineStr">
        <s:is>
          <s:t>Moderado</s:t>
        </s:is>
      </s:c>
      <s:c r="C34" s="12" t="inlineStr">
        <s:is>
          <s:t>Complexo</s:t>
        </s:is>
      </s:c>
      <s:c r="D34" s="12" t="inlineStr">
        <s:is>
          <s:t>Complexo</s:t>
        </s:is>
      </s:c>
    </s:row>
    <s:row r="35" ht="21" customHeight="1">
      <s:c r="A35" s="12" t="inlineStr">
        <s:is>
          <s:t>Pesos em PF</s:t>
        </s:is>
      </s:c>
      <s:c r="B35" s="12" t="n">
        <s:v>4</s:v>
      </s:c>
      <s:c r="C35" s="12" t="n">
        <s:v>5</s:v>
      </s:c>
      <s:c r="D35" s="12" t="n">
        <s:v>7</s:v>
      </s:c>
    </s:row>
    <s:row r="36" ht="19.5" customHeight="1"/>
    <s:row r="37" ht="19.5" customHeight="1"/>
    <s:row r="38" ht="22.5" customHeight="1">
      <s:c r="A38" s="16" t="inlineStr">
        <s:is>
          <s:t>CE - faixas de DER nas colunas</s:t>
        </s:is>
      </s:c>
      <s:c r="B38" s="84" t="n"/>
      <s:c r="C38" s="84" t="n"/>
      <s:c r="D38" s="85" t="n"/>
    </s:row>
    <s:row r="39" ht="20" customHeight="1">
      <s:c r="A39" s="16" t="inlineStr">
        <s:is>
          <s:t>RL / arquivos</s:t>
        </s:is>
      </s:c>
      <s:c r="B39" s="16" t="inlineStr">
        <s:is>
          <s:t>1 a 5</s:t>
        </s:is>
      </s:c>
      <s:c r="C39" s="16" t="inlineStr">
        <s:is>
          <s:t>6 a 19</s:t>
        </s:is>
      </s:c>
      <s:c r="D39" s="16" t="inlineStr">
        <s:is>
          <s:t>20 ou mais</s:t>
        </s:is>
      </s:c>
    </s:row>
    <s:row r="40" ht="21" customHeight="1">
      <s:c r="A40" s="12" t="inlineStr">
        <s:is>
          <s:t>0 ou 1 arquivo</s:t>
        </s:is>
      </s:c>
      <s:c r="B40" s="12" t="inlineStr">
        <s:is>
          <s:t>Simples</s:t>
        </s:is>
      </s:c>
      <s:c r="C40" s="12" t="inlineStr">
        <s:is>
          <s:t>Simples</s:t>
        </s:is>
      </s:c>
      <s:c r="D40" s="12" t="inlineStr">
        <s:is>
          <s:t>Moderado</s:t>
        </s:is>
      </s:c>
    </s:row>
    <s:row r="41" ht="21" customHeight="1">
      <s:c r="A41" s="12" t="inlineStr">
        <s:is>
          <s:t>2 a 3 arquivos</s:t>
        </s:is>
      </s:c>
      <s:c r="B41" s="12" t="inlineStr">
        <s:is>
          <s:t>Simples</s:t>
        </s:is>
      </s:c>
      <s:c r="C41" s="12" t="inlineStr">
        <s:is>
          <s:t>Moderado</s:t>
        </s:is>
      </s:c>
      <s:c r="D41" s="12" t="inlineStr">
        <s:is>
          <s:t>Complexo</s:t>
        </s:is>
      </s:c>
    </s:row>
    <s:row r="42" ht="21" customHeight="1">
      <s:c r="A42" s="12" t="inlineStr">
        <s:is>
          <s:t>4 ou mais arquivos</s:t>
        </s:is>
      </s:c>
      <s:c r="B42" s="12" t="inlineStr">
        <s:is>
          <s:t>Moderado</s:t>
        </s:is>
      </s:c>
      <s:c r="C42" s="12" t="inlineStr">
        <s:is>
          <s:t>Complexo</s:t>
        </s:is>
      </s:c>
      <s:c r="D42" s="12" t="inlineStr">
        <s:is>
          <s:t>Complexo</s:t>
        </s:is>
      </s:c>
    </s:row>
    <s:row r="43" ht="21" customHeight="1">
      <s:c r="A43" s="12" t="inlineStr">
        <s:is>
          <s:t>Pesos em PF</s:t>
        </s:is>
      </s:c>
      <s:c r="B43" s="12" t="n">
        <s:v>3</s:v>
      </s:c>
      <s:c r="C43" s="12" t="n">
        <s:v>4</s:v>
      </s:c>
      <s:c r="D43" s="12" t="n">
        <s:v>6</s:v>
      </s:c>
    </s:row>
    <s:row r="44" ht="19.5" customHeight="1"/>
    <s:row r="45" ht="40" customHeight="1">
      <s:c r="A45" s="81" t="inlineStr">
        <s:is>
          <s:t>Ressalva dos slides</s:t>
        </s:is>
      </s:c>
      <s:c r="B45" s="82" t="inlineStr">
        <s:is>
          <s:t>Parte IV p. 11: FA = 0,65 + 0,01 × NI, adotado aqui e no modelo. P. 15 traz 0,35 e limites inconsistentes; registra-se a divergência sem alterar a fórmula validada da p. 11.</s:t>
        </s:is>
      </s:c>
    </s:row>
    <s:row r="46" ht="55" customHeight="1">
      <s:c r="A46" s="81" t="inlineStr">
        <s:is>
          <s:t>Estimativas</s:t>
        </s:is>
      </s:c>
      <s:c r="B46" s="82" t="inlineStr">
        <s:is>
          <s:t>10 h/PFA, 1 pessoa, 8 h/dia × 75%, R$25/h, reserva 0 e custos adicionais 0. São premissas didáticas; os slides não fixam essas taxas. Fórmulas do modelo preservadas, com referências ajustadas ao número de dados/funções.</s:t>
        </s:is>
      </s:c>
    </s:row>
    <s:row r="47" ht="55" customHeight="1">
      <s:c r="A47" s="81" t="inlineStr">
        <s:is>
          <s:t>Evidência</s:t>
        </s:is>
      </s:c>
      <s:c r="B47" s="82" t="inlineStr">
        <s:is>
          <s:t>Branch entrega-trabalho; 90 testes Java passaram com PostgreSQL/MQTT. Protótipos são ilustrações das funções implementadas, não capturas de produção. Material antigo de reuso não comprova autoria individual.</s:t>
        </s:is>
      </s:c>
    </s:row>
    <s:row r="48" ht="72" customHeight="1"/>
    <s:row r="49" ht="45" customHeight="1"/>
    <s:row r="50" ht="45" customHeight="1"/>
  </s:sheetData>
  <s:mergeCells count="12">
    <s:mergeCell ref="A1:D1"/>
    <s:mergeCell ref="B3:D3"/>
    <s:mergeCell ref="A6:D6"/>
    <s:mergeCell ref="A22:D22"/>
    <s:mergeCell ref="B45:D45"/>
    <s:mergeCell ref="B46:D46"/>
    <s:mergeCell ref="A30:D30"/>
    <s:mergeCell ref="A38:D38"/>
    <s:mergeCell ref="B4:D4"/>
    <s:mergeCell ref="B47:D47"/>
    <s:mergeCell ref="B2:D2"/>
    <s:mergeCell ref="A14:D14"/>
  </s:mergeCells>
  <s:pageMargins left="0.699999988079071" right="0.699999988079071" top="0.75" bottom="0.75" header="0.300000011920929" footer="0.300000011920929"/>
  <s:pageSetup orientation="landscape" paperSize="9" fitToHeight="0" fitToWidth="1"/>
</s:worksheet>
</file>

<file path=xl/worksheets/sheet13.xml><?xml version="1.0" encoding="utf-8"?>
<s:worksheet xmlns:s="http://schemas.openxmlformats.org/spreadsheetml/2006/main">
  <s:sheetPr>
    <s:outlinePr summaryBelow="1" summaryRight="1"/>
    <s:pageSetUpPr fitToPage="1"/>
  </s:sheetPr>
  <s:dimension ref="A1:D49"/>
  <s:sheetViews>
    <s:sheetView showGridLines="0" tabSelected="1" topLeftCell="A58" workbookViewId="0">
      <s:selection activeCell="A50" sqref="A50"/>
    </s:sheetView>
  </s:sheetViews>
  <s:sheetFormatPr baseColWidth="8" defaultRowHeight="15"/>
  <s:cols>
    <s:col width="32" customWidth="1" min="1" max="1"/>
    <s:col width="18" customWidth="1" min="2" max="2"/>
    <s:col width="68" customWidth="1" min="3" max="3"/>
    <s:col width="38" customWidth="1" min="4" max="4"/>
  </s:cols>
  <s:sheetData>
    <s:row r="1" ht="30" customHeight="1"/>
    <s:row r="2" ht="27" customHeight="1">
      <s:c r="A2" s="32" t="inlineStr">
        <s:is>
          <s:t>PFB (PF)</s:t>
        </s:is>
      </s:c>
      <s:c r="B2" s="36">
        <s:f>'Contribuição'!D15</s:f>
        <s:v>52</s:v>
      </s:c>
      <s:c r="C2" s="40" t="inlineStr">
        <s:is>
          <s:t>PFB individual: Contribuição!D15. Recorte, não tamanho do sistema.</s:t>
        </s:is>
      </s:c>
      <s:c r="D2" s="85" t="n"/>
    </s:row>
    <s:row r="3" ht="48" customHeight="1">
      <s:c r="A3" s="32" t="inlineStr">
        <s:is>
          <s:t>NI total (0 a 70)</s:t>
        </s:is>
      </s:c>
      <s:c r="B3" s="34">
        <s:f>IF(COUNT(B9:B22)&lt;&gt;ROWS(B9:B22),"Notas pendentes",IF(SUM(COUNTIF(B9:B22,0),COUNTIF(B9:B22,1),COUNTIF(B9:B22,2),COUNTIF(B9:B22,3),COUNTIF(B9:B22,4),COUNTIF(B9:B22,5))&lt;&gt;ROWS(B9:B22),"Notas inválidas",SUM(B9:B22)))</s:f>
        <s:v>41</s:v>
      </s:c>
      <s:c r="C3" s="40" t="inlineStr">
        <s:is>
          <s:t>Soma das 14 notas de B9:B22; cada nota inteira de 0 a 5.</s:t>
        </s:is>
      </s:c>
      <s:c r="D3" s="85" t="n"/>
    </s:row>
    <s:row r="4">
      <s:c r="A4" s="32" t="inlineStr">
        <s:is>
          <s:t>Fator de ajuste (FA)</s:t>
        </s:is>
      </s:c>
      <s:c r="B4" s="36">
        <s:f>IF(ISNUMBER(B3),0.65+0.01*B3,"Revisar NI")</s:f>
        <s:v>1.06</s:v>
      </s:c>
      <s:c r="C4" s="40" t="inlineStr">
        <s:is>
          <s:t>FA = 0,65 + 0,01 × NI total. Intervalo possível: 0,65 a 1,35.</s:t>
        </s:is>
      </s:c>
      <s:c r="D4" s="85" t="n"/>
    </s:row>
    <s:row r="5" ht="36" customHeight="1">
      <s:c r="A5" s="32" t="inlineStr">
        <s:is>
          <s:t>PFA (PF ajustados)</s:t>
        </s:is>
      </s:c>
      <s:c r="B5" s="36">
        <s:f>IF(AND(ISNUMBER(B2),ISNUMBER(B4)),B2*B4,"Revisar dados")</s:f>
        <s:v>55.12</s:v>
      </s:c>
      <s:c r="C5" s="40" t="inlineStr">
        <s:is>
          <s:t>PFA = PFB × FA. O ajuste pode reduzir ou aumentar o tamanho: NI abaixo de 35 produz FA menor que 1.</s:t>
        </s:is>
      </s:c>
      <s:c r="D5" s="85" t="n"/>
    </s:row>
    <s:row r="6" ht="36" customHeight="1"/>
    <s:row r="7" ht="36" customHeight="1">
      <s:c r="A7" s="32" t="inlineStr">
        <s:is>
          <s:t>Características gerais da aplicação: notas propostas e justificativas</s:t>
        </s:is>
      </s:c>
      <s:c r="B7" s="84" t="n"/>
      <s:c r="C7" s="84" t="n"/>
      <s:c r="D7" s="85" t="n"/>
    </s:row>
    <s:row r="8" ht="36" customHeight="1">
      <s:c r="A8" s="16" t="inlineStr">
        <s:is>
          <s:t>Característica</s:t>
        </s:is>
      </s:c>
      <s:c r="B8" s="16" t="inlineStr">
        <s:is>
          <s:t>NI (0 a 5)</s:t>
        </s:is>
      </s:c>
      <s:c r="C8" s="16" t="inlineStr">
        <s:is>
          <s:t>Justificativa da nota</s:t>
        </s:is>
      </s:c>
      <s:c r="D8" s="16" t="inlineStr">
        <s:is>
          <s:t>Enquadramento e referência</s:t>
        </s:is>
      </s:c>
    </s:row>
    <s:row r="9" ht="90" customHeight="1">
      <s:c r="A9" s="40" t="inlineStr">
        <s:is>
          <s:t>Comunicação de dados</s:t>
        </s:is>
      </s:c>
      <s:c r="B9" s="42" t="n">
        <s:v>5</s:v>
      </s:c>
      <s:c r="C9" s="40" t="inlineStr">
        <s:is>
          <s:t>Aplicação on-line com HTTP e MQTT; novo cliente HTTP de fornecedores. Mais de um protocolo.</s:t>
        </s:is>
      </s:c>
      <s:c r="D9" s="40" t="inlineStr">
        <s:is>
          <s:t>MqttGateway, controllers e FornecedorGateway</s:t>
        </s:is>
      </s:c>
    </s:row>
    <s:row r="10" ht="90" customHeight="1">
      <s:c r="A10" s="40" t="inlineStr">
        <s:is>
          <s:t>Processamento distribuído</s:t>
        </s:is>
      </s:c>
      <s:c r="B10" s="42" t="n">
        <s:v>3</s:v>
      </s:c>
      <s:c r="C10" s="40" t="inlineStr">
        <s:is>
          <s:t>Envia comandos para processamento no controlador IoT. Retorno de telemetria não demonstra transferência de processamento nas duas direções nem escolha dinâmica de CPU.</s:t>
        </s:is>
      </s:c>
      <s:c r="D10" s="40" t="inlineStr">
        <s:is>
          <s:t>IoTService.sinalizar</s:t>
        </s:is>
      </s:c>
    </s:row>
    <s:row r="11" ht="90" customHeight="1">
      <s:c r="A11" s="40" t="inlineStr">
        <s:is>
          <s:t>Desempenho</s:t>
        </s:is>
      </s:c>
      <s:c r="B11" s="42" t="n">
        <s:v>1</s:v>
      </s:c>
      <s:c r="C11" s="40" t="inlineStr">
        <s:is>
          <s:t>Há limites de conexão, paginação e timeouts, mas não foi fornecido SLA crítico nem evidência de análise de desempenho rigorosa.</s:t>
        </s:is>
      </s:c>
      <s:c r="D11" s="40" t="inlineStr">
        <s:is>
          <s:t>application.properties, ProdutoRepository</s:t>
        </s:is>
      </s:c>
    </s:row>
    <s:row r="12" ht="90" customHeight="1">
      <s:c r="A12" s="40" t="inlineStr">
        <s:is>
          <s:t>Utilização de equipamento</s:t>
        </s:is>
      </s:c>
      <s:c r="B12" s="42" t="n">
        <s:v>2</s:v>
      </s:c>
      <s:c r="C12" s="40" t="inlineStr">
        <s:is>
          <s:t>Compose define limites de memória e pools; há considerações de recursos e segurança. Não exige CPU exclusiva.</s:t>
        </s:is>
      </s:c>
      <s:c r="D12" s="40" t="inlineStr">
        <s:is>
          <s:t>compose.yaml</s:t>
        </s:is>
      </s:c>
    </s:row>
    <s:row r="13" ht="90" customHeight="1">
      <s:c r="A13" s="40" t="inlineStr">
        <s:is>
          <s:t>Volume de transações</s:t>
        </s:is>
      </s:c>
      <s:c r="B13" s="42" t="n">
        <s:v>1</s:v>
      </s:c>
      <s:c r="C13" s="40" t="inlineStr">
        <s:is>
          <s:t>Premissa acadêmica: picos mensais de inventário. Volume real não medido; revisar se houver histórico operacional.</s:t>
        </s:is>
      </s:c>
      <s:c r="D13" s="40" t="inlineStr">
        <s:is>
          <s:t>Premissa de estimativa</s:t>
        </s:is>
      </s:c>
    </s:row>
    <s:row r="14" ht="90" customHeight="1">
      <s:c r="A14" s="40" t="inlineStr">
        <s:is>
          <s:t>Entrada on-line</s:t>
        </s:is>
      </s:c>
      <s:c r="B14" s="42" t="n">
        <s:v>5</s:v>
      </s:c>
      <s:c r="C14" s="40" t="inlineStr">
        <s:is>
          <s:t>Mais de 30% dos processos de entrada são interativos: cadastros, movimentos e configurações.</s:t>
        </s:is>
      </s:c>
      <s:c r="D14" s="40" t="inlineStr">
        <s:is>
          <s:t>Transações interativas deste recorte e aplicação. Critério de entrada on-line do material da disciplina.</s:t>
        </s:is>
      </s:c>
    </s:row>
    <s:row r="15" ht="90" customHeight="1">
      <s:c r="A15" s="40" t="inlineStr">
        <s:is>
          <s:t>Eficiência do usuário final</s:t>
        </s:is>
      </s:c>
      <s:c r="B15" s="42" t="n">
        <s:v>4</s:v>
      </s:c>
      <s:c r="C15" s="40" t="inlineStr">
        <s:is>
          <s:t>Menus, mouse, paginação, navegação, ajuda contextual e poucas telas; redução de digitação por código de barras, voz e balança. Sem medição formal de eficiência.</s:t>
        </s:is>
      </s:c>
      <s:c r="D15" s="40" t="inlineStr">
        <s:is>
          <s:t>templates, speech.js, baixa rápida</s:t>
        </s:is>
      </s:c>
    </s:row>
    <s:row r="16" ht="90" customHeight="1">
      <s:c r="A16" s="40" t="inlineStr">
        <s:is>
          <s:t>Atualização on-line</s:t>
        </s:is>
      </s:c>
      <s:c r="B16" s="42" t="n">
        <s:v>4</s:v>
      </s:c>
      <s:c r="C16" s="40" t="inlineStr">
        <s:is>
          <s:t>Maioria dos ALIs atualizada on-line, com transações, bloqueios e idempotência contra perda/duplicação. Não se assume recuperação de volumes extremos.</s:t>
        </s:is>
      </s:c>
      <s:c r="D16" s="40" t="inlineStr">
        <s:is>
          <s:t>EstoqueService, repositories</s:t>
        </s:is>
      </s:c>
    </s:row>
    <s:row r="17" ht="90" customHeight="1">
      <s:c r="A17" s="40" t="inlineStr">
        <s:is>
          <s:t>Processamento complexo</s:t>
        </s:is>
      </s:c>
      <s:c r="B17" s="42" t="n">
        <s:v>2</s:v>
      </s:c>
      <s:c r="C17" s="40" t="inlineStr">
        <s:is>
          <s:t>Dois critérios: auditoria/segurança específica e lógica de negócio de estorno, saldo e permissões. Não se considera matemática extensiva nem reprocessamento batch complexo.</s:t>
        </s:is>
      </s:c>
      <s:c r="D17" s="40" t="inlineStr">
        <s:is>
          <s:t>Acesso, EstoqueService, AuditoriaRepository</s:t>
        </s:is>
      </s:c>
    </s:row>
    <s:row r="18" ht="90" customHeight="1">
      <s:c r="A18" s="40" t="inlineStr">
        <s:is>
          <s:t>Reutilização de código</s:t>
        </s:is>
      </s:c>
      <s:c r="B18" s="42" t="n">
        <s:v>4</s:v>
      </s:c>
      <s:c r="C18" s="40" t="inlineStr">
        <s:is>
          <s:t>Biblioteca de regras empacotável, documentada e com consumidor externo. Extensões exigem código; não se atribui customização geral por parâmetros.</s:t>
        </s:is>
      </s:c>
      <s:c r="D18" s="40" t="inlineStr">
        <s:is>
          <s:t>docs/reuso/README.md, scripts/empacotar-reuso.ps1</s:t>
        </s:is>
      </s:c>
    </s:row>
    <s:row r="19" ht="90" customHeight="1">
      <s:c r="A19" s="40" t="inlineStr">
        <s:is>
          <s:t>Facilidade de implantação</s:t>
        </s:is>
      </s:c>
      <s:c r="B19" s="42" t="n">
        <s:v>2</s:v>
      </s:c>
      <s:c r="C19" s="40" t="inlineStr">
        <s:is>
          <s:t>Roteiros de execução e migrações preparados. Não há evidência de conversão automatizada de dados legados para justificar 4/5.</s:t>
        </s:is>
      </s:c>
      <s:c r="D19" s="40" t="inlineStr">
        <s:is>
          <s:t>README, Flyway, Compose</s:t>
        </s:is>
      </s:c>
    </s:row>
    <s:row r="20" ht="90" customHeight="1">
      <s:c r="A20" s="40" t="inlineStr">
        <s:is>
          <s:t>Facilidade operacional</s:t>
        </s:is>
      </s:c>
      <s:c r="B20" s="42" t="n">
        <s:v>2</s:v>
      </s:c>
      <s:c r="C20" s="40" t="inlineStr">
        <s:is>
          <s:t>Inicialização por scripts com intervenção (1); consultas e relatórios minimizam papel (1). Não se presume backup/recuperação automática.</s:t>
        </s:is>
      </s:c>
      <s:c r="D20" s="40" t="inlineStr">
        <s:is>
          <s:t>scripts/demo.ps1, relatórios</s:t>
        </s:is>
      </s:c>
    </s:row>
    <s:row r="21" ht="90" customHeight="1">
      <s:c r="A21" s="40" t="inlineStr">
        <s:is>
          <s:t>Múltiplos locais</s:t>
        </s:is>
      </s:c>
      <s:c r="B21" s="42" t="n">
        <s:v>2</s:v>
      </s:c>
      <s:c r="C21" s="40" t="inlineStr">
        <s:is>
          <s:t>Premissa: lojas com navegadores e equipamentos similares. Multi-loja implementado; não há evidência de parque heterogêneo e plano de manutenção por local.</s:t>
        </s:is>
      </s:c>
      <s:c r="D21" s="40" t="inlineStr">
        <s:is>
          <s:t>Loja, acesso por tenant</s:t>
        </s:is>
      </s:c>
    </s:row>
    <s:row r="22" ht="90" customHeight="1">
      <s:c r="A22" s="40" t="inlineStr">
        <s:is>
          <s:t>Facilidade de mudanças</s:t>
        </s:is>
      </s:c>
      <s:c r="B22" s="42" t="n">
        <s:v>4</s:v>
      </s:c>
      <s:c r="C22" s="40" t="inlineStr">
        <s:is>
          <s:t>Consulta flexível sobre vários ALIs (2) e controles em tabelas alteráveis on-line com efeito imediato, como permissões/recursos (2).</s:t>
        </s:is>
      </s:c>
      <s:c r="D22" s="40" t="inlineStr">
        <s:is>
          <s:t>ProdutoRepository.pesquisar, PermissaoService, LojaService</s:t>
        </s:is>
      </s:c>
    </s:row>
    <s:row r="23" ht="54" customHeight="1"/>
    <s:row r="24" ht="54" customHeight="1"/>
    <s:row r="25" ht="54" customHeight="1"/>
    <s:row r="26">
      <s:c r="A26" s="32" t="inlineStr">
        <s:is>
          <s:t>Premissas editáveis para a estimativa individual</s:t>
        </s:is>
      </s:c>
      <s:c r="B26" s="84" t="n"/>
      <s:c r="C26" s="84" t="n"/>
      <s:c r="D26" s="85" t="n"/>
    </s:row>
    <s:row r="27">
      <s:c r="A27" s="16" t="inlineStr">
        <s:is>
          <s:t>Premissa</s:t>
        </s:is>
      </s:c>
      <s:c r="B27" s="16" t="inlineStr">
        <s:is>
          <s:t>Valor</s:t>
        </s:is>
      </s:c>
      <s:c r="C27" s="16" t="inlineStr">
        <s:is>
          <s:t>Explicação e alcance</s:t>
        </s:is>
      </s:c>
      <s:c r="D27" s="16" t="inlineStr">
        <s:is>
          <s:t>Unidade / origem</s:t>
        </s:is>
      </s:c>
    </s:row>
    <s:row r="28">
      <s:c r="A28" s="40" t="inlineStr">
        <s:is>
          <s:t>Índice de esforço</s:t>
        </s:is>
      </s:c>
      <s:c r="B28" s="44" t="n">
        <s:v>10</s:v>
      </s:c>
      <s:c r="C28" s="40" t="inlineStr">
        <s:is>
          <s:t>Horas por PFA para análise, prototipação, implementação, testes e documentação. Não há histórico medido em PF; substituir a hipótese quando houver dados. Não é o índice de 20 h/UCP dos documentos de casos de uso.</s:t>
        </s:is>
      </s:c>
      <s:c r="D28" s="40" t="inlineStr">
        <s:is>
          <s:t>h/PFA. Hipótese didática; não é coeficiente do IFPUG.</s:t>
        </s:is>
      </s:c>
    </s:row>
    <s:row r="29" ht="26" customHeight="1">
      <s:c r="A29" s="40" t="inlineStr">
        <s:is>
          <s:t>Pessoas equivalentes</s:t>
        </s:is>
      </s:c>
      <s:c r="B29" s="42" t="n">
        <s:v>1</s:v>
      </s:c>
      <s:c r="C29" s="40" t="inlineStr">
        <s:is>
          <s:t>Uma pessoa equivalente dedicada ao recorte de Arthur Ribeiro.</s:t>
        </s:is>
      </s:c>
      <s:c r="D29" s="40" t="inlineStr">
        <s:is>
          <s:t>pessoa. Premissa de capacidade individual.</s:t>
        </s:is>
      </s:c>
    </s:row>
    <s:row r="30" ht="32" customHeight="1">
      <s:c r="A30" s="40" t="inlineStr">
        <s:is>
          <s:t>Jornada por dia</s:t>
        </s:is>
      </s:c>
      <s:c r="B30" s="42" t="n">
        <s:v>8</s:v>
      </s:c>
      <s:c r="C30" s="40" t="inlineStr">
        <s:is>
          <s:t>Jornada de referência antes de descontar reuniões, pausas e outras atividades. A produtividade efetiva é calculada pela alocação da linha seguinte.</s:t>
        </s:is>
      </s:c>
      <s:c r="D30" s="40" t="inlineStr">
        <s:is>
          <s:t>h/dia por pessoa. Hipótese de planejamento.</s:t>
        </s:is>
      </s:c>
    </s:row>
    <s:row r="31" ht="54" customHeight="1">
      <s:c r="A31" s="40" t="inlineStr">
        <s:is>
          <s:t>Alocação produtiva</s:t>
        </s:is>
      </s:c>
      <s:c r="B31" s="46" t="n">
        <s:v>0.75</s:v>
      </s:c>
      <s:c r="C31" s="40" t="inlineStr">
        <s:is>
          <s:t>8 horas de jornada × 75% = 6 horas produtivas por dia, conforme plano.</s:t>
        </s:is>
      </s:c>
      <s:c r="D31" s="40" t="inlineStr">
        <s:is>
          <s:t>proporção de 0 a 1. Hipótese de disponibilidade.</s:t>
        </s:is>
      </s:c>
    </s:row>
    <s:row r="32" ht="54" customHeight="1">
      <s:c r="A32" s="40" t="inlineStr">
        <s:is>
          <s:t>Dias úteis por semana</s:t>
        </s:is>
      </s:c>
      <s:c r="B32" s="42" t="n">
        <s:v>5</s:v>
      </s:c>
      <s:c r="C32" s="40" t="inlineStr">
        <s:is>
          <s:t>Usado para converter o prazo em dias úteis em semanas. Não define data inicial, calendário de feriados ou compromisso de entrega.</s:t>
        </s:is>
      </s:c>
      <s:c r="D32" s="40" t="inlineStr">
        <s:is>
          <s:t>dias/semana. Hipótese de calendário.</s:t>
        </s:is>
      </s:c>
    </s:row>
    <s:row r="33" ht="54" customHeight="1">
      <s:c r="A33" s="40" t="inlineStr">
        <s:is>
          <s:t>Valor da hora</s:t>
        </s:is>
      </s:c>
      <s:c r="B33" s="48" t="n">
        <s:v>25</s:v>
      </s:c>
      <s:c r="C33" s="40" t="inlineStr">
        <s:is>
          <s:t>Valor orçamentário adotado para cada hora do esforço incluído. Não é pesquisa de mercado, salário comprovado nem custo efetivamente incorrido.</s:t>
        </s:is>
      </s:c>
      <s:c r="D33" s="40" t="inlineStr">
        <s:is>
          <s:t>R$/h. Premissa didática editável.</s:t>
        </s:is>
      </s:c>
    </s:row>
    <s:row r="34" ht="54" customHeight="1">
      <s:c r="A34" s="40" t="inlineStr">
        <s:is>
          <s:t>Reserva de esforço</s:t>
        </s:is>
      </s:c>
      <s:c r="B34" s="46" t="n">
        <s:v>0</s:v>
      </s:c>
      <s:c r="C34" s="40" t="inlineStr">
        <s:is>
          <s:t>Reserva de planejamento igual a zero para reproduzir as premissas do plano individual; não altera a fórmula do modelo.</s:t>
        </s:is>
      </s:c>
      <s:c r="D34" s="40" t="inlineStr">
        <s:is>
          <s:t>proporção de 0 a 1. Reserva de planejamento.</s:t>
        </s:is>
      </s:c>
    </s:row>
    <s:row r="35" ht="54" customHeight="1">
      <s:c r="A35" s="40" t="inlineStr">
        <s:is>
          <s:t>Custos adicionais</s:t>
        </s:is>
      </s:c>
      <s:c r="B35" s="48" t="n">
        <s:v>0</s:v>
      </s:c>
      <s:c r="C35" s="40" t="inlineStr">
        <s:is>
          <s:t>Campo para hospedagem, licenças, equipamentos e encargos adicionais documentados. O valor inicial zero indica que nenhum desses desembolsos foi orçado; itens não informados ficam fora da estimativa.</s:t>
        </s:is>
      </s:c>
      <s:c r="D35" s="40" t="inlineStr">
        <s:is>
          <s:t>R$. Valor inicial zero; não representa cotação.</s:t>
        </s:is>
      </s:c>
    </s:row>
    <s:row r="36" ht="54" customHeight="1"/>
    <s:row r="37" ht="54" customHeight="1">
      <s:c r="A37" s="32" t="inlineStr">
        <s:is>
          <s:t>Estimativas para desenvolver as funções individuais especificadas</s:t>
        </s:is>
      </s:c>
      <s:c r="B37" s="84" t="n"/>
      <s:c r="C37" s="84" t="n"/>
      <s:c r="D37" s="85" t="n"/>
    </s:row>
    <s:row r="38" ht="54" customHeight="1">
      <s:c r="A38" s="16" t="inlineStr">
        <s:is>
          <s:t>Resultado</s:t>
        </s:is>
      </s:c>
      <s:c r="B38" s="16" t="inlineStr">
        <s:is>
          <s:t>Valor calculado</s:t>
        </s:is>
      </s:c>
      <s:c r="C38" s="16" t="inlineStr">
        <s:is>
          <s:t>Fórmula de planejamento e interpretação</s:t>
        </s:is>
      </s:c>
      <s:c r="D38" s="16" t="inlineStr">
        <s:is>
          <s:t>Unidade</s:t>
        </s:is>
      </s:c>
    </s:row>
    <s:row r="39" ht="37" customHeight="1">
      <s:c r="A39" s="40" t="inlineStr">
        <s:is>
          <s:t>Horas produtivas por pessoa/dia</s:t>
        </s:is>
      </s:c>
      <s:c r="B39" s="44">
        <s:f>IF(AND(ISNUMBER(B30),B30&gt;0,ISNUMBER(B31),B31&gt;0,B31&lt;=1),B30*B31,"Revisar jornada")</s:f>
        <s:v>6</s:v>
      </s:c>
      <s:c r="C39" s="40" t="inlineStr">
        <s:is>
          <s:t>Jornada × alocação produtiva.</s:t>
        </s:is>
      </s:c>
      <s:c r="D39" s="40" t="inlineStr">
        <s:is>
          <s:t>h/pessoa/dia</s:t>
        </s:is>
      </s:c>
    </s:row>
    <s:row r="40">
      <s:c r="A40" s="40" t="inlineStr">
        <s:is>
          <s:t>Esforço base</s:t>
        </s:is>
      </s:c>
      <s:c r="B40" s="44">
        <s:f>IF(AND(ISNUMBER(B5),ISNUMBER(B28),B28&gt;0),B5*B28,"Revisar dados")</s:f>
        <s:v>551.2</s:v>
      </s:c>
      <s:c r="C40" s="40" t="inlineStr">
        <s:is>
          <s:t>PFA × índice de esforço. Mede trabalho total, sem reserva.</s:t>
        </s:is>
      </s:c>
      <s:c r="D40" s="40" t="inlineStr">
        <s:is>
          <s:t>h</s:t>
        </s:is>
      </s:c>
    </s:row>
    <s:row r="41" ht="26" customHeight="1">
      <s:c r="A41" s="40" t="inlineStr">
        <s:is>
          <s:t>Reserva em horas</s:t>
        </s:is>
      </s:c>
      <s:c r="B41" s="44">
        <s:f>IF(AND(ISNUMBER(B40),ISNUMBER(B34),B34&gt;=0,B34&lt;=1),B40*B34,"Revisar reserva")</s:f>
        <s:v>0</s:v>
      </s:c>
      <s:c r="C41" s="40" t="inlineStr">
        <s:is>
          <s:t>Esforço base × percentual de reserva. Reserva zero é permitida.</s:t>
        </s:is>
      </s:c>
      <s:c r="D41" s="40" t="inlineStr">
        <s:is>
          <s:t>h</s:t>
        </s:is>
      </s:c>
    </s:row>
    <s:row r="42" ht="32" customHeight="1">
      <s:c r="A42" s="32" t="inlineStr">
        <s:is>
          <s:t>Esforço total com reserva</s:t>
        </s:is>
      </s:c>
      <s:c r="B42" s="36">
        <s:f>IF(AND(ISNUMBER(B40),ISNUMBER(B41)),SUM(B40:B41),"Revisar dados")</s:f>
        <s:v>551.2</s:v>
      </s:c>
      <s:c r="C42" s="40" t="inlineStr">
        <s:is>
          <s:t>Esforço base + reserva; base usada no prazo e no custo total.</s:t>
        </s:is>
      </s:c>
      <s:c r="D42" s="40" t="inlineStr">
        <s:is>
          <s:t>h</s:t>
        </s:is>
      </s:c>
    </s:row>
    <s:row r="43" ht="36" customHeight="1">
      <s:c r="A43" s="40" t="inlineStr">
        <s:is>
          <s:t>Capacidade diária da equipe</s:t>
        </s:is>
      </s:c>
      <s:c r="B43" s="44">
        <s:f>IF(AND(ISNUMBER(B29),B29&gt;0,ISNUMBER(B39)),B29*B39,"Revisar equipe")</s:f>
        <s:v>6</s:v>
      </s:c>
      <s:c r="C43" s="40" t="inlineStr">
        <s:is>
          <s:t>Pessoas equivalentes × horas produtivas por pessoa/dia.</s:t>
        </s:is>
      </s:c>
      <s:c r="D43" s="40" t="inlineStr">
        <s:is>
          <s:t>h/dia</s:t>
        </s:is>
      </s:c>
    </s:row>
    <s:row r="44" ht="36" customHeight="1">
      <s:c r="A44" s="40" t="inlineStr">
        <s:is>
          <s:t>Prazo calculado</s:t>
        </s:is>
      </s:c>
      <s:c r="B44" s="44">
        <s:f>IF(AND(ISNUMBER(B42),ISNUMBER(B43)),B42/B43,"Revisar dados")</s:f>
        <s:v>91.8666666667</s:v>
      </s:c>
      <s:c r="C44" s="40" t="inlineStr">
        <s:is>
          <s:t>Esforço total ÷ capacidade diária. Valor fracionário antes do arredondamento.</s:t>
        </s:is>
      </s:c>
      <s:c r="D44" s="40" t="inlineStr">
        <s:is>
          <s:t>dias úteis</s:t>
        </s:is>
      </s:c>
    </s:row>
    <s:row r="45" ht="36" customHeight="1">
      <s:c r="A45" s="32" t="inlineStr">
        <s:is>
          <s:t>Prazo planejado</s:t>
        </s:is>
      </s:c>
      <s:c r="B45" s="86">
        <s:f>IF(ISNUMBER(B44),ROUNDUP(ROUND(B44,10),0),"Revisar dados")</s:f>
        <s:v>92</s:v>
      </s:c>
      <s:c r="C45" s="40" t="inlineStr">
        <s:is>
          <s:t>Prazo calculado arredondado para o próximo dia útil inteiro. Arredondamento técnico prévio a 10 casas evita um dia extra causado apenas pela representação decimal.</s:t>
        </s:is>
      </s:c>
      <s:c r="D45" s="40" t="inlineStr">
        <s:is>
          <s:t>dias úteis</s:t>
        </s:is>
      </s:c>
    </s:row>
    <s:row r="46" ht="36" customHeight="1">
      <s:c r="A46" s="40" t="inlineStr">
        <s:is>
          <s:t>Prazo em semanas</s:t>
        </s:is>
      </s:c>
      <s:c r="B46" s="44">
        <s:f>IF(AND(ISNUMBER(B45),ISNUMBER(B32),B32&gt;0,B32&lt;=7),B45/B32,"Revisar calendário")</s:f>
        <s:v>18.4</s:v>
      </s:c>
      <s:c r="C46" s="40" t="inlineStr">
        <s:is>
          <s:t>Prazo planejado ÷ dias úteis por semana. Não é duração em dias corridos.</s:t>
        </s:is>
      </s:c>
      <s:c r="D46" s="40" t="inlineStr">
        <s:is>
          <s:t>semanas</s:t>
        </s:is>
      </s:c>
    </s:row>
    <s:row r="47" ht="36" customHeight="1">
      <s:c r="A47" s="40" t="inlineStr">
        <s:is>
          <s:t>Custo base de mão de obra</s:t>
        </s:is>
      </s:c>
      <s:c r="B47" s="44">
        <s:f>IF(AND(ISNUMBER(B40),ISNUMBER(B33),B33&gt;=0),B40*B33,"Revisar valor/hora")</s:f>
        <s:v>13780.0</s:v>
      </s:c>
      <s:c r="C47" s="40" t="inlineStr">
        <s:is>
          <s:t>Esforço base × valor da hora.</s:t>
        </s:is>
      </s:c>
      <s:c r="D47" s="40" t="inlineStr">
        <s:is>
          <s:t>R$</s:t>
        </s:is>
      </s:c>
    </s:row>
    <s:row r="48" ht="36" customHeight="1">
      <s:c r="A48" s="40" t="inlineStr">
        <s:is>
          <s:t>Custo da reserva</s:t>
        </s:is>
      </s:c>
      <s:c r="B48" s="44">
        <s:f>IF(AND(ISNUMBER(B41),ISNUMBER(B33),B33&gt;=0),B41*B33,"Revisar valor/hora")</s:f>
        <s:v>0</s:v>
      </s:c>
      <s:c r="C48" s="40" t="inlineStr">
        <s:is>
          <s:t>Horas da reserva × valor da hora.</s:t>
        </s:is>
      </s:c>
      <s:c r="D48" s="40" t="inlineStr">
        <s:is>
          <s:t>R$</s:t>
        </s:is>
      </s:c>
    </s:row>
    <s:row r="49" ht="36" customHeight="1">
      <s:c r="A49" s="32" t="inlineStr">
        <s:is>
          <s:t>Custo total com reserva</s:t>
        </s:is>
      </s:c>
      <s:c r="B49" s="36">
        <s:f>IF(AND(COUNT(B47:B48)=2,ISNUMBER(B35),B35&gt;=0),SUM(B47:B48)+B35,"Revisar custos")</s:f>
        <s:v>13780.0</s:v>
      </s:c>
      <s:c r="C49" s="40" t="inlineStr">
        <s:is>
          <s:t>Custo base + custo da reserva + custos adicionais.</s:t>
        </s:is>
      </s:c>
      <s:c r="D49" s="40" t="inlineStr">
        <s:is>
          <s:t>R$</s:t>
        </s:is>
      </s:c>
    </s:row>
    <s:row r="50" ht="36" customHeight="1"/>
    <s:row r="51" ht="36" customHeight="1"/>
    <s:row r="52" ht="36" customHeight="1"/>
    <s:row r="53" ht="36" customHeight="1"/>
    <s:row r="55" ht="26" customHeight="1"/>
    <s:row r="56" ht="57" customHeight="1"/>
    <s:row r="57" ht="42" customHeight="1"/>
    <s:row r="58" ht="42" customHeight="1"/>
    <s:row r="59" ht="42" customHeight="1"/>
    <s:row r="60" ht="42" customHeight="1"/>
    <s:row r="62" ht="42" customHeight="1"/>
    <s:row r="63" ht="42" customHeight="1"/>
    <s:row r="64" ht="42" customHeight="1"/>
  </s:sheetData>
  <s:mergeCells count="7">
    <s:mergeCell ref="A37:D37"/>
    <s:mergeCell ref="C2:D2"/>
    <s:mergeCell ref="A26:D26"/>
    <s:mergeCell ref="C5:D5"/>
    <s:mergeCell ref="A7:D7"/>
    <s:mergeCell ref="C3:D3"/>
    <s:mergeCell ref="C4:D4"/>
  </s:mergeCells>
  <s:dataValidations count="8">
    <s:dataValidation sqref="B9:B22" showDropDown="0" showInputMessage="0" showErrorMessage="1" allowBlank="0" errorTitle="Valor inválido" error="Informe um valor dentro dos limites da premissa ou nota." type="whole">
      <s:formula1>0</s:formula1>
      <s:formula2>5</s:formula2>
    </s:dataValidation>
    <s:dataValidation sqref="B28" showDropDown="0" showInputMessage="0" showErrorMessage="1" allowBlank="0" errorTitle="Valor inválido" error="Informe um valor dentro dos limites da premissa ou nota." type="decimal" operator="greaterThan">
      <s:formula1>0</s:formula1>
    </s:dataValidation>
    <s:dataValidation sqref="B29:B30" showDropDown="0" showInputMessage="0" showErrorMessage="1" allowBlank="0" errorTitle="Valor inválido" error="Informe um valor dentro dos limites da premissa ou nota." type="decimal" operator="greaterThan">
      <s:formula1>0</s:formula1>
    </s:dataValidation>
    <s:dataValidation sqref="B31" showDropDown="0" showInputMessage="0" showErrorMessage="1" allowBlank="0" errorTitle="Valor inválido" error="Informe um valor dentro dos limites da premissa ou nota." type="decimal">
      <s:formula1>0.01</s:formula1>
      <s:formula2>1</s:formula2>
    </s:dataValidation>
    <s:dataValidation sqref="B32" showDropDown="0" showInputMessage="0" showErrorMessage="1" allowBlank="0" errorTitle="Valor inválido" error="Informe um valor dentro dos limites da premissa ou nota." type="whole">
      <s:formula1>1</s:formula1>
      <s:formula2>7</s:formula2>
    </s:dataValidation>
    <s:dataValidation sqref="B33" showDropDown="0" showInputMessage="0" showErrorMessage="1" allowBlank="0" errorTitle="Valor inválido" error="Informe um valor dentro dos limites da premissa ou nota." type="decimal" operator="greaterThanOrEqual">
      <s:formula1>0</s:formula1>
    </s:dataValidation>
    <s:dataValidation sqref="B34" showDropDown="0" showInputMessage="0" showErrorMessage="1" allowBlank="0" errorTitle="Valor inválido" error="Informe um valor dentro dos limites da premissa ou nota." type="decimal">
      <s:formula1>0</s:formula1>
      <s:formula2>1</s:formula2>
    </s:dataValidation>
    <s:dataValidation sqref="B35" showDropDown="0" showInputMessage="0" showErrorMessage="1" allowBlank="0" errorTitle="Valor inválido" error="Informe um valor dentro dos limites da premissa ou nota." type="decimal" operator="greaterThanOrEqual">
      <s:formula1>0</s:formula1>
    </s:dataValidation>
  </s:dataValidations>
  <s:pageMargins left="0.699999988079071" right="0.699999988079071" top="0.75" bottom="0.75" header="0.300000011920929" footer="0.300000011920929"/>
  <s:pageSetup orientation="landscape" paperSize="9" fitToHeight="0" fitToWidth="1"/>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Arthur Ribeiro</dc:creator>
  <dc:title>Estoque Inteligente — Arthur Ribeiro</dc:title>
  <dc:subject>Entrega individual de APF</dc:subject>
  <dcterms:created xsi:type="dcterms:W3CDTF">2026-10-25T04:52:09Z</dcterms:created>
  <dcterms:modified xsi:type="dcterms:W3CDTF">2026-10-25T04:52:11Z</dcterms:modified>
</cp:coreProperties>
</file>