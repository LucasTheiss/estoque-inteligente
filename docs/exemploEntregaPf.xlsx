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activeTab="11"/>
  </bookViews>
  <sheets>
    <sheet name="Contribuição" sheetId="1" r:id="rId1"/>
    <sheet name="ALI-04 Perfil pet" sheetId="2" r:id="rId2"/>
    <sheet name="ALI-05 Favoritos" sheetId="3" r:id="rId3"/>
    <sheet name="AIE-03 Raças" sheetId="4" r:id="rId4"/>
    <sheet name="AIE-06 Vacinação" sheetId="5" r:id="rId5"/>
    <sheet name="EE - Gustavo" sheetId="6" r:id="rId6"/>
    <sheet name="SE-05 Saída" sheetId="7" r:id="rId7"/>
    <sheet name="SE-06 Saída" sheetId="8" r:id="rId8"/>
    <sheet name="CE-05 Consulta" sheetId="9" r:id="rId9"/>
    <sheet name="CE-06 Consulta" sheetId="10" r:id="rId10"/>
    <sheet name="Critérios e fontes" sheetId="11" r:id="rId11"/>
    <sheet name="NI e estimativas" sheetId="12" r:id="rId12"/>
  </sheets>
  <definedNames>
    <definedName name="_xlnm.Print_Area" localSheetId="0">Contribuição!$A$1:$D$25</definedName>
    <definedName name="_xlnm.Print_Area" localSheetId="1">'ALI-04 Perfil pet'!$A$1:$T$33</definedName>
    <definedName name="_xlnm.Print_Area" localSheetId="2">'ALI-05 Favoritos'!$A$1:$T$21</definedName>
    <definedName name="_xlnm.Print_Area" localSheetId="3">'AIE-03 Raças'!$A$1:$T$22</definedName>
    <definedName name="_xlnm.Print_Area" localSheetId="4">'AIE-06 Vacinação'!$A$1:$T$22</definedName>
    <definedName name="_xlnm.Print_Area" localSheetId="5">'EE - Gustavo'!$A$1:$T$135</definedName>
    <definedName name="_xlnm.Print_Area" localSheetId="6">'SE-05 Saída'!$A$1:$T$71</definedName>
    <definedName name="_xlnm.Print_Area" localSheetId="7">'SE-06 Saída'!$A$1:$T$49</definedName>
    <definedName name="_xlnm.Print_Area" localSheetId="8">'CE-05 Consulta'!$A$1:$T$41</definedName>
    <definedName name="_xlnm.Print_Area" localSheetId="9">'CE-06 Consulta'!$A$1:$T$41</definedName>
    <definedName name="_xlnm.Print_Area" localSheetId="10">'Critérios e fontes'!$A$1:$D$44</definedName>
    <definedName name="_xlnm.Print_Area" localSheetId="11">'NI e estimativas'!$A$1:$D$49</definedName>
  </definedNames>
  <calcPr calcId="191029"/>
</workbook>
</file>

<file path=xl/sharedStrings.xml><?xml version="1.0" encoding="utf-8"?>
<sst xmlns="http://schemas.openxmlformats.org/spreadsheetml/2006/main" count="1048" uniqueCount="433">
  <si>
    <t>Medição de Software - Gustavo Yuri Ferreira Imoto</t>
  </si>
  <si>
    <t>Contribuição registrada</t>
  </si>
  <si>
    <t>Distribuição preservada dos documentos individuais anteriores. A responsabilidade pelas SEs já constava em saidas-externas.pdf; as demais funções foram organizadas por afinidade nos documentos individuais, sem atribuição retroativa de autoria.</t>
  </si>
  <si>
    <t>Item</t>
  </si>
  <si>
    <t>Função / grupo lógico</t>
  </si>
  <si>
    <t>Tipo</t>
  </si>
  <si>
    <t>PF estimados</t>
  </si>
  <si>
    <t>ALI-04</t>
  </si>
  <si>
    <t>Perfil do pet</t>
  </si>
  <si>
    <t>ALI</t>
  </si>
  <si>
    <t>ALI-05</t>
  </si>
  <si>
    <t>Favoritos</t>
  </si>
  <si>
    <t>AIE-03</t>
  </si>
  <si>
    <t>Catálogo de raças</t>
  </si>
  <si>
    <t>AIE</t>
  </si>
  <si>
    <t>AIE-06</t>
  </si>
  <si>
    <t>Histórico de vacinação</t>
  </si>
  <si>
    <t>EE-07</t>
  </si>
  <si>
    <t>Cadastrar perfil do pet</t>
  </si>
  <si>
    <t>EE</t>
  </si>
  <si>
    <t>EE-08</t>
  </si>
  <si>
    <t>Alterar perfil do pet</t>
  </si>
  <si>
    <t>EE-09</t>
  </si>
  <si>
    <t>Excluir perfil do pet</t>
  </si>
  <si>
    <t>EE-10</t>
  </si>
  <si>
    <t>Registrar interesse pelo pet</t>
  </si>
  <si>
    <t>SE-05</t>
  </si>
  <si>
    <t>Indicadores de adoção da ONG</t>
  </si>
  <si>
    <t>SE</t>
  </si>
  <si>
    <t>SE-06</t>
  </si>
  <si>
    <t>Pets mais favoritados</t>
  </si>
  <si>
    <t>CE-05</t>
  </si>
  <si>
    <t>Consultar acervo de pets</t>
  </si>
  <si>
    <t>CE</t>
  </si>
  <si>
    <t>CE-06</t>
  </si>
  <si>
    <t>Consultar favoritos</t>
  </si>
  <si>
    <t>Total individual estimado</t>
  </si>
  <si>
    <t>Cálculos de ajuste e estimativa individual</t>
  </si>
  <si>
    <t>NI total</t>
  </si>
  <si>
    <t>Soma das 14 notas justificadas em NI e estimativas.</t>
  </si>
  <si>
    <t>Fator de ajuste (FA)</t>
  </si>
  <si>
    <t>FA = 0,65 + 0,01 × NI.</t>
  </si>
  <si>
    <t>PFA individual</t>
  </si>
  <si>
    <t>PFB individual × FA.</t>
  </si>
  <si>
    <t>Esforço com reserva (h)</t>
  </si>
  <si>
    <t>Inclui a reserva de esforço de planejamento.</t>
  </si>
  <si>
    <t>Prazo planejado (dias úteis)</t>
  </si>
  <si>
    <t>Prazo calculado pela capacidade diária definida nas premissas.</t>
  </si>
  <si>
    <t>Custo com reserva (R$)</t>
  </si>
  <si>
    <t>Valor da hora e custos adicionais são premissas editáveis.</t>
  </si>
  <si>
    <t>ALI-04 - Perfil do pet</t>
  </si>
  <si>
    <t>Sistema</t>
  </si>
  <si>
    <t>MatchEngine Adote Bem</t>
  </si>
  <si>
    <t>ALI - Arquivo Lógico Interno</t>
  </si>
  <si>
    <t>Justificativa</t>
  </si>
  <si>
    <t>A ONG mantém o cadastro e as mídias do animal pelo MatchEngine. Dados e mídias são subgrupos dependentes do mesmo pet e formam um ALI, não dois arquivos.</t>
  </si>
  <si>
    <t>Requisito relacionado</t>
  </si>
  <si>
    <t>Manter Perfil do pet</t>
  </si>
  <si>
    <t>Caso de uso relacionado</t>
  </si>
  <si>
    <t>Manutenção e consultas do grupo ALI-04; rastreabilidade descritiva, IDs de requisito e caso de uso não informados na fonte.</t>
  </si>
  <si>
    <t>Registro lógico</t>
  </si>
  <si>
    <t>Item de dado referenciado</t>
  </si>
  <si>
    <t>Observação / exemplo</t>
  </si>
  <si>
    <t>Dados do pet</t>
  </si>
  <si>
    <t>Nome</t>
  </si>
  <si>
    <t>String</t>
  </si>
  <si>
    <t>Exemplo fictício: Luna</t>
  </si>
  <si>
    <t>Idade</t>
  </si>
  <si>
    <t>Exemplo fictício: 3 anos</t>
  </si>
  <si>
    <t>Raça</t>
  </si>
  <si>
    <t>Exemplo fictício: Sem raça definida</t>
  </si>
  <si>
    <t>Onde reside</t>
  </si>
  <si>
    <t>Exemplo fictício: Blumenau / SC</t>
  </si>
  <si>
    <t>Temperamento</t>
  </si>
  <si>
    <t>Exemplo fictício: Calmo</t>
  </si>
  <si>
    <t>Hobby</t>
  </si>
  <si>
    <t>Exemplo fictício: Caminhar</t>
  </si>
  <si>
    <t>Sexo</t>
  </si>
  <si>
    <t>Exemplo fictício: Fêmea</t>
  </si>
  <si>
    <t>Porte</t>
  </si>
  <si>
    <t>Exemplo fictício: Médio</t>
  </si>
  <si>
    <t>Energia</t>
  </si>
  <si>
    <t>Exemplo fictício: Moderada</t>
  </si>
  <si>
    <t>Necessidade de atividade</t>
  </si>
  <si>
    <t>Decimal</t>
  </si>
  <si>
    <t>Exemplo fictício: 40 min/dia</t>
  </si>
  <si>
    <t>Castração</t>
  </si>
  <si>
    <t>Boolean</t>
  </si>
  <si>
    <t>Exemplo fictício: Sim</t>
  </si>
  <si>
    <t>Mídias do pet</t>
  </si>
  <si>
    <t>Mídia principal</t>
  </si>
  <si>
    <t>Exemplo fictício: luna.jpg</t>
  </si>
  <si>
    <t>Outras mídias</t>
  </si>
  <si>
    <t>Exemplo fictício: luna-2.jpg</t>
  </si>
  <si>
    <t>Espécie</t>
  </si>
  <si>
    <t>Exemplo fictício: Cão</t>
  </si>
  <si>
    <t>Situação do pet</t>
  </si>
  <si>
    <t>Exemplo fictício: Disponível</t>
  </si>
  <si>
    <t>ONG responsável</t>
  </si>
  <si>
    <t>Exemplo fictício: Projeto Patinhas</t>
  </si>
  <si>
    <t>Faixa etária</t>
  </si>
  <si>
    <t>Exemplo fictício: Adulto</t>
  </si>
  <si>
    <t>Contagem para PF</t>
  </si>
  <si>
    <t>Registros lógicos (RL)</t>
  </si>
  <si>
    <t>Itens de dados (DER)</t>
  </si>
  <si>
    <t>Complexidade</t>
  </si>
  <si>
    <t>Tamanho estimado (PF)</t>
  </si>
  <si>
    <t>Origem e complemento</t>
  </si>
  <si>
    <t>Grupo com dois registros lógicos e campos originais preservado. Espécie, faixa etária, situação, vínculo ONG responsável e detalhamento biológico foram explicitados para matching e indicadores. Onde reside continua sendo a localização, não o vínculo institucional. O item composto Informações biológicas foi desdobrado em cinco itens independentes: Sexo, Porte, Energia, Necessidade de atividade e Castração. O rótulo guarda-chuva não é contado adicionalmente. A decomposição explicita os campos já descritos na especificação; a localização é apresentada separada do vínculo com a ONG.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</si>
  <si>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Relação com a tela</t>
  </si>
  <si>
    <t>Na especificação, o ALI-04 reúne os dados e registros lógicos catalogados. A captura real mostra a ficha do animal ou seu CRUD no Laço, com cobertura parcial dos campos. Criar, editar e excluir usam o repositório em memória do cliente; os dados não persistem ao recarregar a página. Campos ausentes continuam propostos na especificação.</t>
  </si>
  <si>
    <t>ALI-05 - Favoritos</t>
  </si>
  <si>
    <t>A escolha salva é um registro de negócio mantido pelo MatchEngine, com data e observação, independente da apresentação do ranking.</t>
  </si>
  <si>
    <t>Manter Favoritos</t>
  </si>
  <si>
    <t>Manutenção e consultas do grupo ALI-05; rastreabilidade descritiva, IDs de requisito e caso de uso não informados na fonte.</t>
  </si>
  <si>
    <t>Favorito</t>
  </si>
  <si>
    <t>Adotante</t>
  </si>
  <si>
    <t>Exemplo fictício: ana@example.com</t>
  </si>
  <si>
    <t>Animal favorito</t>
  </si>
  <si>
    <t>Instituição</t>
  </si>
  <si>
    <t>Data em que foi salvo</t>
  </si>
  <si>
    <t>Date</t>
  </si>
  <si>
    <t>Exemplo fictício: 14/10/2026</t>
  </si>
  <si>
    <t>Observação</t>
  </si>
  <si>
    <t>Text</t>
  </si>
  <si>
    <t>Exemplo fictício: Interesse em conhecer a Luna</t>
  </si>
  <si>
    <t>Grupo e campos existentes. Regra de unicidade adotante-animal explicitada na complementação documental anterior.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</si>
  <si>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Na especificação, o ALI-05 reúne favoritos com os dados catalogados. A captura real mostra animais curtidos e matches mantidos no estado da sessão do Laço. Não há persistência do arquivo completo nem os campos de data e observação do favorito especificado; a evidência é parcial.</t>
  </si>
  <si>
    <t>AIE-03 - Catálogo de raças</t>
  </si>
  <si>
    <t>AIE - Arquivo de Interface Externa</t>
  </si>
  <si>
    <t>Os dados de referência sobre raças pertencem a um catálogo administrado por outra aplicação. O MatchEngine apenas os consulta para orientar o preenchimento, sem manter o catálogo.</t>
  </si>
  <si>
    <t>Consultar Catálogo de raças em fonte externa proposta</t>
  </si>
  <si>
    <t>Consulta à referência AIE-03; rastreabilidade descritiva, IDs de requisito e caso de uso não informados na fonte.</t>
  </si>
  <si>
    <t>Sistema externo</t>
  </si>
  <si>
    <t>Aplicação externa de referência de raças; integração proposta.</t>
  </si>
  <si>
    <t>Raça selecionada</t>
  </si>
  <si>
    <t>Exemplo fictício: Labrador</t>
  </si>
  <si>
    <t>Porte típico</t>
  </si>
  <si>
    <t>Exemplo fictício: Grande</t>
  </si>
  <si>
    <t>Nível de energia</t>
  </si>
  <si>
    <t>Exemplo fictício: Alto</t>
  </si>
  <si>
    <t>Exemplo fictício: 60 min/dia</t>
  </si>
  <si>
    <t>Grupo e campos existentes; integração permanece proposta.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</si>
  <si>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O AIE-03 é um catálogo externo proposto na especificação. No Laço executado, a raça é informada como texto livre no formulário do animal; não existe consulta ao catálogo nem integração externa de raças. A captura real não comprova leitura dos registros do AIE-03.</t>
  </si>
  <si>
    <t>AIE-06 - Histórico de vacinação</t>
  </si>
  <si>
    <t>O histórico é mantido no sistema da clínica parceira, fora da fronteira adotada. O MatchEngine apenas consulta esse histórico; este AIE não é o prontuário local do módulo veterinário Laço.</t>
  </si>
  <si>
    <t>Consultar Histórico de vacinação em fonte externa proposta</t>
  </si>
  <si>
    <t>Consulta à referência AIE-06; rastreabilidade descritiva, IDs de requisito e caso de uso não informados na fonte.</t>
  </si>
  <si>
    <t>Sistema externo da clínica parceira; integração proposta.</t>
  </si>
  <si>
    <t>Registro de vacinação</t>
  </si>
  <si>
    <t>Animal</t>
  </si>
  <si>
    <t>Vacina</t>
  </si>
  <si>
    <t>Exemplo fictício: Antirrábica</t>
  </si>
  <si>
    <t>Última dose</t>
  </si>
  <si>
    <t>Exemplo fictício: 01/09/2026</t>
  </si>
  <si>
    <t>Próxima dose</t>
  </si>
  <si>
    <t>Exemplo fictício: 01/09/2027</t>
  </si>
  <si>
    <t>Clínica responsável</t>
  </si>
  <si>
    <t>Exemplo fictício: Clínica Parceira Exemplo</t>
  </si>
  <si>
    <t>Grupo e campos existentes. A próxima dose é recuperada da fonte, não calculada nesta consulta.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</si>
  <si>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O AIE-06 é um histórico externo proposto na especificação. A captura real mostra vacinação no prontuário clínico demonstrativo do Laço, com dados locais do animal. Não existe integração com um histórico externo nem recuperação da próxima dose da fonte especificada. A contagem do AIE permanece referente ao escopo documental.</t>
  </si>
  <si>
    <t>EE-07 - Cadastrar perfil do pet</t>
  </si>
  <si>
    <t>Tipo e finalidade</t>
  </si>
  <si>
    <t>EE - A ONG informa os dados do novo pet: nome, idade, espécie, raça, onde reside, temperamento, hobby, sexo, porte, energia, necessidade de atividade em minutos por dia, castração, mídia principal, outras mídias, faixa etária, situação do pet e ONG responsável. O vínculo institucional vem do contexto da ONG autorizada. A situação inicial é Disponível.</t>
  </si>
  <si>
    <t>Processo preservado da identificação preliminar de EEs. Nesta adaptação, os dados mantidos e os dados distintos que atravessam a fronteira são explicitados, incluindo o detalhamento biológico.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</si>
  <si>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Arquivos e itens</t>
  </si>
  <si>
    <t>Mantém os dados informados nos registros Dados do pet e Mídias do pet do ALI-04 Perfil do pet. Lê Nome da ONG no ALI-03 Perfil da ONG para validar a associação institucional. O AIE-03 Catálogo de raças pode fornecer Espécie, Raça selecionada, Porte típico, Nível de energia e Necessidade de atividade como referência, por integração proposta; o processo não altera essa base externa. ONG responsável e Onde reside são informações distintas.</t>
  </si>
  <si>
    <t>Resultado e classificação</t>
  </si>
  <si>
    <t>Valida os dados e inclui um pet associado à instituição. É EE porque informações entram pela fronteira para manter um ALI; consultar o catálogo não mantém a fonte externa.</t>
  </si>
  <si>
    <t>Campos complementados</t>
  </si>
  <si>
    <t>Espécie, Faixa etária, Situação do pet, ONG responsável e o detalhamento de Sexo, Porte, Energia, Necessidade de atividade e Castração são complementos identificados no catálogo consolidado. A identificação usada para selecionar um pet na alteração é uma referência da operação, não um novo atributo proposto para o ALI-04. Cada dado de negócio é listado uma vez; comandos e mensagens ficam separados.</t>
  </si>
  <si>
    <t>Arquivos referenciados</t>
  </si>
  <si>
    <t>ALI-04 Perfil do pet; ALI-03 Perfil da ONG; AIE-03 Catálogo de raças</t>
  </si>
  <si>
    <t>Arquivo / origem</t>
  </si>
  <si>
    <t>Dado que cruza a fronteira</t>
  </si>
  <si>
    <t>Uso no processo</t>
  </si>
  <si>
    <t>DER contado</t>
  </si>
  <si>
    <t>Entrada / retorno</t>
  </si>
  <si>
    <t>ALI-04 / AIE-03</t>
  </si>
  <si>
    <t>Interface / processamento</t>
  </si>
  <si>
    <t>Conjunto de botões: Cadastrar / Cancelar</t>
  </si>
  <si>
    <t>Conjunto de comandos</t>
  </si>
  <si>
    <t>Pet cadastrado.</t>
  </si>
  <si>
    <t>Consistência / resposta</t>
  </si>
  <si>
    <t>Revise os campos obrigatórios ou os valores inválidos.</t>
  </si>
  <si>
    <t>Nome do grupo lógico</t>
  </si>
  <si>
    <t>Uso</t>
  </si>
  <si>
    <t>Ver finalidade e dados descritos</t>
  </si>
  <si>
    <t>ALI-03</t>
  </si>
  <si>
    <t>Perfil da ONG</t>
  </si>
  <si>
    <t>EE-08 - Alterar perfil do pet</t>
  </si>
  <si>
    <t>EE - A ONG seleciona um pet existente e informa os novos valores: nome, idade, espécie, raça, onde reside, temperamento, hobby, sexo, porte, energia, necessidade de atividade em minutos por dia, castração, mídia principal, outras mídias, faixa etária, situação do pet e ONG responsável. O vínculo institucional vem do contexto da ONG autorizada. A situação assume Disponível, Em processo ou Adotado.</t>
  </si>
  <si>
    <t>Valida e grava as alterações do pet selecionado. É EE de alteração: mantém cadastro existente, com finalidade distinta da inclusão. A confirmação visual integra o processo e não constitui uma SE independente.</t>
  </si>
  <si>
    <t>ALI-04 / ALI-03 / AIE-03</t>
  </si>
  <si>
    <t>Identificação do pet selecionado</t>
  </si>
  <si>
    <t>Conjunto de botões: Salvar alterações / Cancelar</t>
  </si>
  <si>
    <t>Alterações salvas.</t>
  </si>
  <si>
    <t>EE-09 - Excluir perfil do pet</t>
  </si>
  <si>
    <t>EE - A ONG seleciona um pet e confirma sua exclusão. Entram a identificação do animal e a confirmação da operação.</t>
  </si>
  <si>
    <t>Processo preservado da identificação preliminar de EEs. A verificação de vínculos e sua distinção em relação aos dados de entrada foram complementadas nesta adaptação.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</si>
  <si>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Lê e exclui Dados do pet e Mídias do pet no ALI-04 Perfil do pet, incluindo todos os seus atributos e referências às mídias. Antes de excluir, verifica Animal favorito no ALI-05 Favoritos e Animal no ALI-06 Matches e no ALI-08 Solicitação de adoção. Esses arquivos relacionados são somente lidos; a exclusão mantém apenas o ALI-04. Os atributos lidos ou removidos internamente não são contados como entradas independentes: o dado recebido é a identificação do pet selecionado, acompanhado do conjunto de comandos.</t>
  </si>
  <si>
    <t>Se houver favoritos, escolhas ou solicitações vinculadas, bloqueia a exclusão para preservar o histórico. Sem vínculos, remove o cadastro. É EE porque a entrada determina manutenção por exclusão de um ALI; a mensagem de confirmação pertence ao mesmo processo.</t>
  </si>
  <si>
    <t>ALI-04 Perfil do pet; ALI-05 Favoritos; ALI-06 Matches; ALI-08 Solicitação de adoção</t>
  </si>
  <si>
    <t>ALI-04 / ALI-05 / ALI-06 / ALI-08</t>
  </si>
  <si>
    <t>Conjunto de botões: Confirmar exclusão / Cancelar</t>
  </si>
  <si>
    <t>Pet excluído.</t>
  </si>
  <si>
    <t>Exclusão bloqueada: existem favoritos, escolhas ou solicitações vinculadas.</t>
  </si>
  <si>
    <t>ALI-06</t>
  </si>
  <si>
    <t>Matches</t>
  </si>
  <si>
    <t>ALI-08</t>
  </si>
  <si>
    <t>Solicitação de adoção</t>
  </si>
  <si>
    <t>EE-10 - Registrar interesse pelo pet</t>
  </si>
  <si>
    <t>EE - O adotante identificado confirma interesse no animal e pode informar Observação. Adotante, Animal, Compatibilidade apresentada anteriormente e Observação são dados de negócio distintos da operação. A decisão é expressa no conjunto de comandos, sem duplicar um dado adicional Escolha. Este processo reutiliza a compatibilidade já calculada e não executa um novo cálculo de matching.</t>
  </si>
  <si>
    <t>Processo preservado da identificação preliminar de EEs. A manutenção conjunta de Favoritos e Matches, a unicidade e o uso da compatibilidade anterior foram explicitados nesta adaptação.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</si>
  <si>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Lê E-mail no ALI-01 Perfil do adotante, Nome da ONG no ALI-03 Perfil da ONG e Nome, Situação do pet e ONG responsável no ALI-04 Perfil do pet. Mantém no ALI-05 Favoritos: Adotante, Animal favorito, Instituição, Data em que foi salvo e Observação. Mantém no ALI-06 Matches: Adotante, Animal, Compatibilidade, Status Interesse, Data do match e Próximo passo. Animal favorito e Animal representam o mesmo pet e não são duplicados na lista de dados que atravessam a fronteira. Instituição é obtida do vínculo institucional; datas, Status e Próximo passo são definidos internamente.</t>
  </si>
  <si>
    <t>Valida a disponibilidade do pet, salva favorito e registro de escolha para o par adotante-animal sem duplicá-lo e preserva os registros existentes em uma repetição sem alteração. É um único processo de EE com ALI-05 e ALI-06 mantidos. O processamento posterior da notificação pertence à SE-07 e não cria outra contagem da EE-10.</t>
  </si>
  <si>
    <t>ALI-01 Perfil do adotante; ALI-03 Perfil da ONG; ALI-04 Perfil do pet; ALI-05 Favoritos; ALI-06 Matches</t>
  </si>
  <si>
    <t>ALI-05 / ALI-06</t>
  </si>
  <si>
    <t>Compatibilidade</t>
  </si>
  <si>
    <t>Conjunto de botões: Confirmar interesse / Cancelar</t>
  </si>
  <si>
    <t>Interesse registrado.</t>
  </si>
  <si>
    <t>O interesse por este animal já está registrado.</t>
  </si>
  <si>
    <t>ALI-01</t>
  </si>
  <si>
    <t>Perfil do adotante</t>
  </si>
  <si>
    <t>SE-05 - Indicadores de adoção da ONG</t>
  </si>
  <si>
    <t>SE - A ONG informa instituição e período para acompanhar o estoque atual de animais e o fluxo de adoção no intervalo. A saída apresenta nome da ONG, período, pets disponíveis, matches positivos, solicitações enviadas, adoções concluídas e conversão.</t>
  </si>
  <si>
    <t>SE preservada do material anterior de saídas externas, com atribuição a Gustavo Yuri. Fórmulas, vínculos, recortes temporais, tratamento de vazios e ilustração foram explicitados nesta adaptação.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</si>
  <si>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ALIs e itens referenciados</t>
  </si>
  <si>
    <t>Lê Nome da ONG no ALI-03 Perfil da ONG; Nome, ONG responsável e Situação do pet no ALI-04 Perfil do pet; Animal, Status e Data do match no ALI-06 Matches; ONG vinculada, Situação da solicitação, Data/hora de envio e Data/hora de conclusão no ALI-08 Solicitação de adoção. Para vincular cada match à ONG, resolve Animal para o pet e sua ONG responsável no ALI-04. Onde reside descreve a localização e não substitui esse vínculo.</t>
  </si>
  <si>
    <t>Dados derivados e exemplo</t>
  </si>
  <si>
    <t>Conta os pets da ONG com Situação do pet Disponível na emissão (estoque atual). Dentro do intervalo informado, conta registros de Matches pela Data do match, excluindo Status Recusado; conta solicitações pela Data/hora de envio; e conta solicitações com Situação da solicitação Concluída pela Data/hora de conclusão. Os limites são inclusivos e, no último dia, não ultrapassam a emissão. Conversão do fluxo = 100 × concluídas no período ÷ enviadas no período. Exemplo Projeto Patinhas: de 01/10/2026 00:00 até 14/10/2026 10:00, emissão no mesmo instante final, disponíveis atuais 3, matches positivos 6, enviadas 10 e concluídas 1; conversão = 10%.</t>
  </si>
  <si>
    <t>Interpretação e classificação</t>
  </si>
  <si>
    <t>A conversão compara fluxos do período, sem afirmar que a conclusão veio dos mesmos envios. O estoque atual é separado desses fluxos. Contagens vazias valem zero; sem envios, conversão não aplicável. É SE porque agrega registros e calcula percentual, em vez de apenas recuperar dados.</t>
  </si>
  <si>
    <t>ALI-03 Perfil da ONG; ALI-04 Perfil do pet; ALI-06 Matches; ALI-08 Solicitação de adoção</t>
  </si>
  <si>
    <t>Nome da ONG</t>
  </si>
  <si>
    <t>Entrada e saída</t>
  </si>
  <si>
    <t>ALI-03 / ALI-04 / ALI-06 / ALI-08</t>
  </si>
  <si>
    <t>Data inicial</t>
  </si>
  <si>
    <t>Critério recebido</t>
  </si>
  <si>
    <t>Data final</t>
  </si>
  <si>
    <t>Período do fluxo</t>
  </si>
  <si>
    <t>Datas já contadas</t>
  </si>
  <si>
    <t>Data/hora de emissão</t>
  </si>
  <si>
    <t>Saída da SE</t>
  </si>
  <si>
    <t>Pets disponíveis atuais</t>
  </si>
  <si>
    <t>Matches positivos gerados no período</t>
  </si>
  <si>
    <t>Solicitações enviadas no período</t>
  </si>
  <si>
    <t>Adoções concluídas no período</t>
  </si>
  <si>
    <t>Conversão do fluxo</t>
  </si>
  <si>
    <t>Conjunto de ações de emissão</t>
  </si>
  <si>
    <t>Comando</t>
  </si>
  <si>
    <t>Mensagem de validação / ausência de resultado</t>
  </si>
  <si>
    <t>Resposta</t>
  </si>
  <si>
    <t>SE-06 - Pets mais favoritados</t>
  </si>
  <si>
    <t>SE - A ONG solicita o ranking de seus pets pelos favoritos registrados. A saída apresenta posição, nome, raça, quantidade de favoritos e data do favorito mais recente, permitindo observar o interesse recebido por cada animal.</t>
  </si>
  <si>
    <t>SE preservada do material anterior de saídas externas, com atribuição a Gustavo Yuri. Agrupamento, contagem de pares únicos, data máxima, desempate e ilustração foram explicitados nesta adaptação.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</si>
  <si>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Lê Adotante, Animal favorito, Instituição e Data em que foi salvo no ALI-05 Favoritos; lê Nome e Raça no ALI-04 Perfil do pet. Instituição delimita os favoritos. Posição, Quantidade de favoritos únicos e Data do favorito mais recente são resultados calculados, sem acrescentar atributos aos arquivos de origem.</t>
  </si>
  <si>
    <t>Agrupa favoritos por animal e conta pares únicos adotante-animal. Obtém a maior data salva de cada grupo. Ordena quantidade decrescente; em empate, usa data mais recente decrescente, nome e identificação. A posição é atribuída após ordenar. Exemplo: Luna tem 3 favoritos únicos, Mel 2 e Nino 1; aparecem nas posições 1, 2 e 3.</t>
  </si>
  <si>
    <t>Vazios e classificação</t>
  </si>
  <si>
    <t>Sem favoritos na instituição, apresenta lista vazia e mensagem informativa, sem inventar posições. É SE porque conta, agrupa, seleciona a data máxima e produz posições. A consulta simples dos favoritos individuais permanece separada na CE-06, sem ranking ou agregações.</t>
  </si>
  <si>
    <t>ALI-05 Favoritos; ALI-04 Perfil do pet</t>
  </si>
  <si>
    <t>ALI-05 / ALI-04</t>
  </si>
  <si>
    <t>Posição calculada</t>
  </si>
  <si>
    <t>Quantidade de favoritos únicos</t>
  </si>
  <si>
    <t>Data do favorito mais recente</t>
  </si>
  <si>
    <t>CE-05 - Consultar acervo de pets</t>
  </si>
  <si>
    <t>CE - A ONG localiza pets de seu acervo para consultar o cadastro, sem alterá-lo. O contexto da instituição limita a consulta aos animais sob sua tutela.</t>
  </si>
  <si>
    <t>Consulta organizada no material anterior a partir do ALI-04 Perfil do pet. Nesta adaptação, critérios e resultado continuam sendo etapas de uma única consulta sem derivação ou manutenção.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</si>
  <si>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Entrada e critérios</t>
  </si>
  <si>
    <t>A tela de entrada oferece Nome, Raça e Situação do pet. Nome e raça aceitam trecho do texto; situação aceita um valor armazenado ou qualquer situação. Campos preenchidos são combinados por E. No exemplo, Nome = Luna e Situação = Disponível; Raça fica em branco.</t>
  </si>
  <si>
    <t>Arquivos e resultado</t>
  </si>
  <si>
    <t>Consulta o ALI-04, usando nome, raça, situação e ONG responsável para selecionar os registros. Recupera nome, espécie, idade, raça, residência e situação para a tabela de resultado. A idade exibida é o valor cadastrado, sem cálculo a partir de nascimento. Não consulta AIE nesta operação.</t>
  </si>
  <si>
    <t>Classificação e vazios</t>
  </si>
  <si>
    <t>É CE porque o processo recebe critérios e devolve dados armazenados, sem calcular compatibilidade, totais ou indicadores e sem manter ALIs. As duas telas representam um único processo elementar. Se não houver correspondência, informa que nenhum pet foi encontrado. Ações de inclusão, alteração e exclusão pertencem às EEs próprias.</t>
  </si>
  <si>
    <t>ALI-04 Perfil do pet</t>
  </si>
  <si>
    <t>Saída da CE</t>
  </si>
  <si>
    <t>Conjunto de ações de consulta</t>
  </si>
  <si>
    <t>CE-06 - Consultar favoritos</t>
  </si>
  <si>
    <t>CE - O adotante consulta os pets que salvou e as observações registradas. O processo exibe favoritos individuais, sem ordenar por popularidade ou produzir um ranking.</t>
  </si>
  <si>
    <t>Consulta organizada no material anterior a partir do ALI-05 Favoritos. Nesta adaptação, o resultado individual permanece sem ranking, score, contagem ou manutenção. Nesta atualização de 22/10/2026, a imagem foi substituída por captura real da execução local do Laço, com cobertura parcial identificada na legenda. A identificação, os dados e a classificação continuam referentes ao MatchEngine especificado; a captura não comprova implementação integral da função.</t>
  </si>
  <si>
    <t>A entrada usa Adotante, identificado pelo e-mail da sessão, e Instituição. O vínculo com o adotante é obrigatório; a instituição pode ser informada para restringir a lista ou deixada sem filtro. No exemplo, adotante ana@example.com e instituição Projeto Patinhas são combinados por E.</t>
  </si>
  <si>
    <t>Lê Adotante, Animal favorito, Instituição, Data em que foi salvo e Observação no ALI-05 Favoritos e recupera Nome no ALI-04 Perfil do pet para identificar Animal favorito. Apresenta Animal favorito, Instituição, Data em que foi salvo e Observação exatamente como armazenados. Não calcula prazo, compatibilidade, quantidade ou posição. Não referencia AIE.</t>
  </si>
  <si>
    <t>É CE porque recebe critérios e retorna dados armazenados sem derivação ou manutenção. Entrada e resultado integram um único processo. Se a seleção estiver vazia, informa que não há favoritos para os critérios. Registrar interesse corresponde à EE-10; gerar o ranking agregado corresponde à SE-06.</t>
  </si>
  <si>
    <t>Critérios de classificação e estimativa didática</t>
  </si>
  <si>
    <t>Fronteira</t>
  </si>
  <si>
    <t>Aplicação de adoção animal especificada no trabalho. Adotantes, ONGs e sistemas externos estão fora da fronteira. As funções e contagens correspondem ao MatchEngine especificado. As imagens são capturas reais do Laço em execução local, com cobertura parcial; a existência de uma tela relacionada não comprova a implementação integral da função.</t>
  </si>
  <si>
    <t>Convenção de contagem</t>
  </si>
  <si>
    <t>ALI/AIE: um DER por dado reconhecido pelo usuário; o grupo biológico do pet foi detalhado em campos independentes. EE: dados que cruzam a fronteira, um conjunto de comandos e duas respostas possíveis, conforme os exemplos da disciplina.</t>
  </si>
  <si>
    <t>SE e CE</t>
  </si>
  <si>
    <t>Os dados recebidos e apresentados são listados por processo. Um mesmo dado de consulta e resultado é contado uma vez. As regras internas de filtro não são entradas adicionais. SE produz dado derivado; CE apenas recupera dados armazenados, sem atualização ou cálculo novo.</t>
  </si>
  <si>
    <t>ALI - faixas de DER nas colunas</t>
  </si>
  <si>
    <t>RL / arquivos</t>
  </si>
  <si>
    <t>1 a 19</t>
  </si>
  <si>
    <t>20 a 50</t>
  </si>
  <si>
    <t>51 ou mais</t>
  </si>
  <si>
    <t>1 RL</t>
  </si>
  <si>
    <t>Simples</t>
  </si>
  <si>
    <t>Moderado</t>
  </si>
  <si>
    <t>2 a 5 RL</t>
  </si>
  <si>
    <t>Complexo</t>
  </si>
  <si>
    <t>6 ou mais RL</t>
  </si>
  <si>
    <t>Pesos em PF</t>
  </si>
  <si>
    <t>AIE - faixas de DER nas colunas</t>
  </si>
  <si>
    <t>EE - faixas de DER nas colunas</t>
  </si>
  <si>
    <t>1 a 4</t>
  </si>
  <si>
    <t>5 a 15</t>
  </si>
  <si>
    <t>16 ou mais</t>
  </si>
  <si>
    <t>0 ou 1 arquivo</t>
  </si>
  <si>
    <t>2 arquivos</t>
  </si>
  <si>
    <t>3 ou mais arquivos</t>
  </si>
  <si>
    <t>SE - faixas de DER nas colunas</t>
  </si>
  <si>
    <t>1 a 5</t>
  </si>
  <si>
    <t>6 a 19</t>
  </si>
  <si>
    <t>20 ou mais</t>
  </si>
  <si>
    <t>2 a 3 arquivos</t>
  </si>
  <si>
    <t>4 ou mais arquivos</t>
  </si>
  <si>
    <t>CE - faixas de DER nas colunas</t>
  </si>
  <si>
    <t>PFB (PF)</t>
  </si>
  <si>
    <t>Vínculo à soma das funções individuais em Contribuição!D21; não corresponde ao tamanho total do sistema.</t>
  </si>
  <si>
    <t>NI total (0 a 70)</t>
  </si>
  <si>
    <t>Soma das 14 notas de B12:B25. Cada nota deve ser um número inteiro de 0 a 5; justifique qualquer alteração.</t>
  </si>
  <si>
    <t>FA = 0,65 + 0,01 × NI total. Intervalo possível: 0,65 a 1,35.</t>
  </si>
  <si>
    <t>PFA (PF ajustados)</t>
  </si>
  <si>
    <t>PFA = PFB × FA. O ajuste pode reduzir ou aumentar o tamanho: NI abaixo de 35 produz FA menor que 1.</t>
  </si>
  <si>
    <t>Características gerais da aplicação: notas propostas e justificativas</t>
  </si>
  <si>
    <t>Característica</t>
  </si>
  <si>
    <t>NI (0 a 5)</t>
  </si>
  <si>
    <t>Justificativa da nota</t>
  </si>
  <si>
    <t>Enquadramento e referência</t>
  </si>
  <si>
    <t>1. Comunicação de dados</t>
  </si>
  <si>
    <t>Premissa da aplicação especificada: acesso web com envio de dados e atualização de ALIs por HTTP. Enquadra comunicação on-line além de uma consulta; não se pressupõem vários protocolos.</t>
  </si>
  <si>
    <t>Hipótese de arquitetura. UC 01–06 e abas EE/CE. IFPUG 8-6 a 8-8.</t>
  </si>
  <si>
    <t>2. Processamento distribuído</t>
  </si>
  <si>
    <t>Premissa de arquitetura para a solução completa: cliente web envia operações e servidor processa, mantém dados e devolve resultados on-line. Fluxo bidirecional; sem seleção dinâmica de processadores. O protótipo local não comprova essa implantação.</t>
  </si>
  <si>
    <t>Hipótese cliente/servidor. IFPUG 8-9 e 8-10.</t>
  </si>
  <si>
    <t>3. Desempenho</t>
  </si>
  <si>
    <t>A apresentação interativa dos cards exige resposta percebida como rápida. Considera-se essa preocupação no projeto, sem SLA numérico, análise especial de desempenho ou ferramentas de carga comprovadas.</t>
  </si>
  <si>
    <t>Interação descrita no UC 04. Julgamento conservador. IFPUG 8-11.</t>
  </si>
  <si>
    <t>4. Configuração intensamente utilizada</t>
  </si>
  <si>
    <t>O escopo não impõe limites específicos de memória, CPU, hardware compartilhado ou utilização de equipamentos saturados. Não se acrescenta influência sem requisito de restrição operacional.</t>
  </si>
  <si>
    <t>Ausência de requisito específico no escopo analisado. IFPUG 8-13.</t>
  </si>
  <si>
    <t>5. Volume de transações</t>
  </si>
  <si>
    <t>Adota-se volume inicial baixo para o projeto acadêmico, com impacto pequeno no desenho. Não há volumetria, pico de concorrência ou necessidade documentada de análise especial de capacidade.</t>
  </si>
  <si>
    <t>Premissa de baixa carga, sujeita a revisão com volumetria. IFPUG 8-15.</t>
  </si>
  <si>
    <t>6. Entrada de dados on-line</t>
  </si>
  <si>
    <t>As quatro EEs, as duas CEs e a emissão das duas SEs do recorte são acionadas por interação com a aplicação. Mais de 30% dos tipos de transação são interativos, faixa correspondente à nota 5.</t>
  </si>
  <si>
    <t>Abas EE - Gustavo, SE-05/06 e CE-05/06. IFPUG 8-16.</t>
  </si>
  <si>
    <t>7. Eficiência do usuário final</t>
  </si>
  <si>
    <t>As telas especificam navegação, menus, rolagem, valores padrão, interação por mouse e janelas/modais: seis recursos considerados no modelo. São hipóteses da interface pretendida. Não se assume estudo de ergonomia nem ferramentas especiais de usabilidade.</t>
  </si>
  <si>
    <t>Fluxos de interface especificados e capturas reais parciais da execução local do Laço em 22/10/2026. IFPUG 8-17 e 8-18.</t>
  </si>
  <si>
    <t>8. Atualização on-line</t>
  </si>
  <si>
    <t>A especificação prevê manter os pets da ONG e registrar interesses/favoritos pelas EEs 07, 08, 09 e 10 durante a interação. São ALIs de negócio. Não há projeto comprovado de recuperação automática contra perda de dados.</t>
  </si>
  <si>
    <t>ALI-04 e ALI-05 e EE - Gustavo. Avalia a especificação. IFPUG 8-19.</t>
  </si>
  <si>
    <t>9. Processamento complexo</t>
  </si>
  <si>
    <t>Conta-se um componente: controle de acesso por titular/papel, delimitando os pets da ONG e os favoritos do adotante. Scores, contagens, médias, percentuais e intervalos de datas usam aritmética básica; não fundamentam matemática extensa nem os demais componentes.</t>
  </si>
  <si>
    <t>CE-05/06 e SE-05/06; fronteira por usuário. IFPUG 8-20 e 8-21.</t>
  </si>
  <si>
    <t>10. Reutilização</t>
  </si>
  <si>
    <t>Adota-se reaproveitamento interno de formulários, validações e componentes de interface no MatchEngine. O recorte não exige empacotar componentes para outras aplicações, portanto a nota fica no reuso interno.</t>
  </si>
  <si>
    <t>Premissa de implementação interna; sem transferir o escopo de outros produtos Laço. IFPUG 8-22.</t>
  </si>
  <si>
    <t>11. Facilidade de instalação</t>
  </si>
  <si>
    <t>Para realizar as funções especificadas, pressupõe-se configuração do ambiente web e do armazenamento. Não se prevê migração de base legada, instalador especial ou conversão automatizada exigida pelo usuário.</t>
  </si>
  <si>
    <t>Premissa de implantação da solução completa. IFPUG 8-23 e 8-24.</t>
  </si>
  <si>
    <t>12. Facilidade de operação</t>
  </si>
  <si>
    <t>O acervo de pets e os favoritos são consultados em tela, reduzindo o manuseio de papel: um item do critério. Não se atribuem pontos a backup, recuperação automática ou operação sem intervenção não especificados.</t>
  </si>
  <si>
    <t>CE-05/06; critério de saída por meio eletrônico. IFPUG 8-25 e 8-26.</t>
  </si>
  <si>
    <t>13. Múltiplos locais</t>
  </si>
  <si>
    <t>Considera-se uma implantação web central. Acesso por vários usuários/ONGs não comprova instalações com ambientes distintos, planos de suporte multilocal ou variantes de hardware e software.</t>
  </si>
  <si>
    <t>Premissa de implantação única. IFPUG 8-27 e 8-28.</t>
  </si>
  <si>
    <t>14. Facilidade de mudanças</t>
  </si>
  <si>
    <t>Os critérios de Nome, Raça, Situação e E-mail do adotante mantêm formato fixo. Não há editor de consultas/relatórios nem manutenção pelo usuário de tabelas de regras com vigência definida. As regras propostas das SEs não comprovam esse mecanismo.</t>
  </si>
  <si>
    <t>CE-05/06 e regras propostas de SE-05/06. IFPUG 8-29 e 8-30.</t>
  </si>
  <si>
    <t>Premissas editáveis para a estimativa individual</t>
  </si>
  <si>
    <t>Premissa</t>
  </si>
  <si>
    <t>Valor</t>
  </si>
  <si>
    <t>Explicação e alcance</t>
  </si>
  <si>
    <t>Unidade / origem</t>
  </si>
  <si>
    <t>Índice de esforço</t>
  </si>
  <si>
    <t>Horas por PFA para análise, prototipação, implementação, testes e documentação. Não há histórico medido em PF; substituir a hipótese quando houver dados. Não é o índice de 20 h/UCP dos documentos de casos de uso.</t>
  </si>
  <si>
    <t>h/PFA. Hipótese didática; não é coeficiente do IFPUG.</t>
  </si>
  <si>
    <t>Pessoas equivalentes</t>
  </si>
  <si>
    <t>Quantidade de pessoas equivalentes dedicada ao recorte de Gustavo; valor inicial: uma. Não se usa automaticamente o total de quatro integrantes para reduzir o prazo desta contribuição.</t>
  </si>
  <si>
    <t>pessoa. Premissa de capacidade individual.</t>
  </si>
  <si>
    <t>Jornada por dia</t>
  </si>
  <si>
    <t>Jornada de referência antes de descontar reuniões, pausas e outras atividades. A produtividade efetiva é calculada pela alocação da linha seguinte.</t>
  </si>
  <si>
    <t>h/dia por pessoa. Hipótese de planejamento.</t>
  </si>
  <si>
    <t>Alocação produtiva</t>
  </si>
  <si>
    <t>Parcela da jornada disponível para as atividades incluídas no esforço. O restante fica fora dessa capacidade. Horas produtivas por pessoa/dia = jornada × alocação, calculadas em B43.</t>
  </si>
  <si>
    <t>proporção de 0 a 1. Hipótese de disponibilidade.</t>
  </si>
  <si>
    <t>Dias úteis por semana</t>
  </si>
  <si>
    <t>Usado para converter o prazo em dias úteis em semanas. Não define data inicial, calendário de feriados ou compromisso de entrega.</t>
  </si>
  <si>
    <t>dias/semana. Hipótese de calendário.</t>
  </si>
  <si>
    <t>Valor da hora</t>
  </si>
  <si>
    <t>Valor orçamentário adotado para cada hora do esforço incluído. Não é pesquisa de mercado, salário comprovado nem custo efetivamente incorrido.</t>
  </si>
  <si>
    <t>R$/h. Premissa didática editável.</t>
  </si>
  <si>
    <t>Reserva de esforço</t>
  </si>
  <si>
    <t>Aplica o percentual informado às horas base para incerteza de requisitos, integrações propostas e retrabalho. A reserva afeta esforço, prazo e custo uma única vez.</t>
  </si>
  <si>
    <t>proporção de 0 a 1. Reserva de planejamento.</t>
  </si>
  <si>
    <t>Custos adicionais</t>
  </si>
  <si>
    <t>Campo para hospedagem, licenças, equipamentos e encargos adicionais documentados. O valor inicial zero indica que nenhum desses desembolsos foi orçado; itens não informados ficam fora da estimativa.</t>
  </si>
  <si>
    <t>R$. Valor inicial zero; não representa cotação.</t>
  </si>
  <si>
    <t>Estimativas para desenvolver as funções individuais especificadas</t>
  </si>
  <si>
    <t>Resultado</t>
  </si>
  <si>
    <t>Valor calculado</t>
  </si>
  <si>
    <t>Fórmula de planejamento e interpretação</t>
  </si>
  <si>
    <t>Unidade</t>
  </si>
  <si>
    <t>Horas produtivas por pessoa/dia</t>
  </si>
  <si>
    <t>Jornada × alocação produtiva.</t>
  </si>
  <si>
    <t>h/pessoa/dia</t>
  </si>
  <si>
    <t>Esforço base</t>
  </si>
  <si>
    <t>PFA × índice de esforço. Mede trabalho total, sem reserva.</t>
  </si>
  <si>
    <t>h</t>
  </si>
  <si>
    <t>Reserva em horas</t>
  </si>
  <si>
    <t>Esforço base × percentual de reserva. Reserva zero é permitida.</t>
  </si>
  <si>
    <t>Esforço total com reserva</t>
  </si>
  <si>
    <t>Esforço base + reserva; base usada no prazo e no custo total.</t>
  </si>
  <si>
    <t>Capacidade diária da equipe</t>
  </si>
  <si>
    <t>Pessoas equivalentes × horas produtivas por pessoa/dia.</t>
  </si>
  <si>
    <t>h/dia</t>
  </si>
  <si>
    <t>Prazo calculado</t>
  </si>
  <si>
    <t>Esforço total ÷ capacidade diária. Valor fracionário antes do arredondamento.</t>
  </si>
  <si>
    <t>dias úteis</t>
  </si>
  <si>
    <t>Prazo planejado</t>
  </si>
  <si>
    <t>Prazo calculado arredondado para o próximo dia útil inteiro. Arredondamento técnico prévio a 10 casas evita um dia extra causado apenas pela representação decimal.</t>
  </si>
  <si>
    <t>Prazo em semanas</t>
  </si>
  <si>
    <t>Prazo planejado ÷ dias úteis por semana. Não é duração em dias corridos.</t>
  </si>
  <si>
    <t>semanas</t>
  </si>
  <si>
    <t>Custo base de mão de obra</t>
  </si>
  <si>
    <t>Esforço base × valor da hora.</t>
  </si>
  <si>
    <t>R$</t>
  </si>
  <si>
    <t>Custo da reserva</t>
  </si>
  <si>
    <t>Horas da reserva × valor da hora.</t>
  </si>
  <si>
    <t>Custo total com reserva</t>
  </si>
  <si>
    <t>Custo base + custo da reserva + custos adicionais.</t>
  </si>
</sst>
</file>

<file path=xl/styles.xml><?xml version="1.0" encoding="utf-8"?>
<styleSheet xmlns="http://schemas.openxmlformats.org/spreadsheetml/2006/main">
  <numFmts count="5">
    <numFmt numFmtId="164" formatCode="&quot;R$ &quot;#,##0.00"/>
    <numFmt numFmtId="165" formatCode="0.0"/>
    <numFmt numFmtId="166" formatCode="dd/mm/yyyy hh:mm"/>
    <numFmt numFmtId="167" formatCode="0.0%"/>
    <numFmt numFmtId="168" formatCode="dd/mm/yyyy"/>
  </numFmts>
  <fonts count="6">
    <font>
      <sz val="11"/>
      <color rgb="FF000000"/>
      <name val="Calibri"/>
      <family val="2"/>
      <scheme val="minor"/>
    </font>
    <font>
      <sz val="11"/>
      <color rgb="FF000000"/>
      <name val="Arial"/>
      <family val="2"/>
    </font>
    <font>
      <b/>
      <sz val="11"/>
      <color rgb="FF000000"/>
      <name val="Arial"/>
      <family val="2"/>
    </font>
    <font>
      <b/>
      <sz val="15"/>
      <color rgb="FF000000"/>
      <name val="Arial"/>
      <family val="2"/>
    </font>
    <font>
      <i/>
      <sz val="11"/>
      <color rgb="FF000000"/>
      <name val="Arial"/>
      <family val="2"/>
    </font>
    <font>
      <b/>
      <sz val="11"/>
      <color rgb="FF000000"/>
      <name val="Calibri"/>
      <family val="2"/>
    </font>
  </fonts>
  <fills count="2">
    <fill>
      <patternFill patternType="none"/>
    </fill>
    <fill>
      <patternFill patternType="gray125">
        <bgColor indexed="64"/>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0">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3" fillId="0" borderId="0" xfId="0" applyFont="1"/>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1" fillId="0" borderId="0" xfId="0" applyFont="1" applyAlignment="1">
      <alignment wrapText="1"/>
    </xf>
    <xf numFmtId="0" fontId="1" fillId="0" borderId="0" xfId="0" applyFont="1" applyAlignment="1">
      <alignment vertical="center" wrapText="1"/>
    </xf>
    <xf numFmtId="0" fontId="2" fillId="0" borderId="0" xfId="0" applyFont="1"/>
    <xf numFmtId="0" fontId="2" fillId="0" borderId="0" xfId="0" applyFont="1" applyAlignment="1">
      <alignment wrapText="1"/>
    </xf>
    <xf numFmtId="0" fontId="2" fillId="0" borderId="0" xfId="0" applyFont="1" applyAlignment="1">
      <alignment vertical="center" wrapText="1"/>
    </xf>
    <xf numFmtId="0" fontId="2" fillId="0" borderId="4" xfId="0" applyFont="1" applyBorder="1" applyAlignment="1">
      <alignment horizontal="left" vertical="center" wrapText="1"/>
    </xf>
    <xf numFmtId="3" fontId="2" fillId="0" borderId="0" xfId="0" applyNumberFormat="1" applyFont="1" applyAlignment="1">
      <alignment horizontal="center" vertical="center" wrapText="1"/>
    </xf>
    <xf numFmtId="3" fontId="2" fillId="0" borderId="4" xfId="0" applyNumberFormat="1" applyFont="1" applyBorder="1" applyAlignment="1">
      <alignment horizontal="center" vertical="center" wrapText="1"/>
    </xf>
    <xf numFmtId="4" fontId="2" fillId="0" borderId="0" xfId="0" applyNumberFormat="1" applyFont="1" applyAlignment="1">
      <alignment horizontal="center" vertical="center" wrapText="1"/>
    </xf>
    <xf numFmtId="4" fontId="2" fillId="0" borderId="4" xfId="0" applyNumberFormat="1"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4" xfId="0" applyFont="1" applyBorder="1" applyAlignment="1">
      <alignment horizontal="left" vertical="center" wrapText="1"/>
    </xf>
    <xf numFmtId="1" fontId="1" fillId="0" borderId="0" xfId="0" applyNumberFormat="1" applyFont="1" applyAlignment="1">
      <alignment horizontal="center" vertical="center" wrapText="1"/>
    </xf>
    <xf numFmtId="1" fontId="1" fillId="0" borderId="4" xfId="0" applyNumberFormat="1" applyFont="1" applyBorder="1" applyAlignment="1">
      <alignment horizontal="center" vertical="center" wrapText="1"/>
    </xf>
    <xf numFmtId="4" fontId="1" fillId="0" borderId="0" xfId="0" applyNumberFormat="1" applyFont="1" applyAlignment="1">
      <alignment horizontal="center" vertical="center" wrapText="1"/>
    </xf>
    <xf numFmtId="4" fontId="1" fillId="0" borderId="4" xfId="0" applyNumberFormat="1" applyFont="1" applyBorder="1" applyAlignment="1">
      <alignment horizontal="center" vertical="center" wrapText="1"/>
    </xf>
    <xf numFmtId="9" fontId="1" fillId="0" borderId="0" xfId="0" applyNumberFormat="1" applyFont="1" applyAlignment="1">
      <alignment horizontal="center" vertical="center" wrapText="1"/>
    </xf>
    <xf numFmtId="9" fontId="1" fillId="0" borderId="4" xfId="0" applyNumberFormat="1" applyFont="1" applyBorder="1" applyAlignment="1">
      <alignment horizontal="center" vertical="center" wrapText="1"/>
    </xf>
    <xf numFmtId="164" fontId="1" fillId="0" borderId="0" xfId="0" applyNumberFormat="1" applyFont="1" applyAlignment="1">
      <alignment horizontal="center" vertical="center" wrapText="1"/>
    </xf>
    <xf numFmtId="164" fontId="1" fillId="0" borderId="4" xfId="0" applyNumberFormat="1" applyFont="1" applyBorder="1" applyAlignment="1">
      <alignment horizontal="center" vertical="center" wrapText="1"/>
    </xf>
    <xf numFmtId="0" fontId="4" fillId="0" borderId="0" xfId="0" applyFont="1"/>
    <xf numFmtId="0" fontId="4" fillId="0" borderId="0" xfId="0" applyFont="1" applyAlignment="1">
      <alignment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165" fontId="1" fillId="0" borderId="0" xfId="0" applyNumberFormat="1" applyFont="1" applyAlignment="1">
      <alignment horizontal="center" vertical="center" wrapText="1"/>
    </xf>
    <xf numFmtId="165" fontId="1" fillId="0" borderId="4" xfId="0" applyNumberFormat="1" applyFont="1" applyBorder="1" applyAlignment="1">
      <alignment horizontal="center" vertical="center" wrapText="1"/>
    </xf>
    <xf numFmtId="164" fontId="2" fillId="0" borderId="0" xfId="0" applyNumberFormat="1" applyFont="1" applyAlignment="1">
      <alignment horizontal="center" vertical="center" wrapText="1"/>
    </xf>
    <xf numFmtId="164" fontId="2" fillId="0" borderId="4" xfId="0" applyNumberFormat="1" applyFont="1" applyBorder="1" applyAlignment="1">
      <alignment horizontal="center" vertical="center" wrapText="1"/>
    </xf>
    <xf numFmtId="0" fontId="5" fillId="0" borderId="0" xfId="0" applyFont="1"/>
    <xf numFmtId="0" fontId="5" fillId="0" borderId="0" xfId="0" applyFont="1" applyAlignment="1">
      <alignment wrapText="1"/>
    </xf>
    <xf numFmtId="0" fontId="5" fillId="0" borderId="0" xfId="0" applyFont="1" applyAlignment="1">
      <alignment vertical="center" wrapText="1"/>
    </xf>
    <xf numFmtId="0" fontId="5" fillId="0" borderId="0" xfId="0" applyFont="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3" fontId="1" fillId="0" borderId="0" xfId="0" applyNumberFormat="1" applyFont="1" applyAlignment="1">
      <alignment horizontal="center" vertical="center" wrapText="1"/>
    </xf>
    <xf numFmtId="3" fontId="1" fillId="0" borderId="4" xfId="0" applyNumberFormat="1" applyFont="1" applyBorder="1" applyAlignment="1">
      <alignment horizontal="center" vertical="center" wrapText="1"/>
    </xf>
    <xf numFmtId="166" fontId="1" fillId="0" borderId="1" xfId="0" applyNumberFormat="1" applyFont="1" applyBorder="1" applyAlignment="1">
      <alignment horizontal="left" vertical="center" wrapText="1"/>
    </xf>
    <xf numFmtId="166" fontId="1" fillId="0" borderId="2" xfId="0" applyNumberFormat="1" applyFont="1" applyBorder="1" applyAlignment="1">
      <alignment horizontal="left" vertical="center" wrapText="1"/>
    </xf>
    <xf numFmtId="166" fontId="1" fillId="0" borderId="3" xfId="0" applyNumberFormat="1" applyFont="1" applyBorder="1" applyAlignment="1">
      <alignment horizontal="left" vertical="center" wrapText="1"/>
    </xf>
    <xf numFmtId="166" fontId="1" fillId="0" borderId="4" xfId="0" applyNumberFormat="1" applyFont="1" applyBorder="1" applyAlignment="1">
      <alignment horizontal="center" vertical="center" wrapText="1"/>
    </xf>
    <xf numFmtId="1" fontId="1" fillId="0" borderId="1" xfId="0" applyNumberFormat="1" applyFont="1" applyBorder="1" applyAlignment="1">
      <alignment horizontal="left" vertical="center" wrapText="1"/>
    </xf>
    <xf numFmtId="1" fontId="1" fillId="0" borderId="2" xfId="0" applyNumberFormat="1" applyFont="1" applyBorder="1" applyAlignment="1">
      <alignment horizontal="left" vertical="center" wrapText="1"/>
    </xf>
    <xf numFmtId="1" fontId="1" fillId="0" borderId="3" xfId="0" applyNumberFormat="1" applyFont="1" applyBorder="1" applyAlignment="1">
      <alignment horizontal="left" vertical="center" wrapText="1"/>
    </xf>
    <xf numFmtId="167" fontId="1" fillId="0" borderId="1" xfId="0" applyNumberFormat="1" applyFont="1" applyBorder="1" applyAlignment="1">
      <alignment horizontal="left" vertical="center" wrapText="1"/>
    </xf>
    <xf numFmtId="167" fontId="1" fillId="0" borderId="2" xfId="0" applyNumberFormat="1" applyFont="1" applyBorder="1" applyAlignment="1">
      <alignment horizontal="left" vertical="center" wrapText="1"/>
    </xf>
    <xf numFmtId="167" fontId="1" fillId="0" borderId="3" xfId="0" applyNumberFormat="1" applyFont="1" applyBorder="1" applyAlignment="1">
      <alignment horizontal="left" vertical="center" wrapText="1"/>
    </xf>
    <xf numFmtId="168" fontId="1"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tyles" Target="styles.xml"/><Relationship Id="rId14" Type="http://schemas.openxmlformats.org/officeDocument/2006/relationships/theme" Target="theme/theme1.xml"/><Relationship Id="rId1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6.jpeg"/><Relationship Id="rId3" Type="http://schemas.openxmlformats.org/officeDocument/2006/relationships/image" Target="../media/image7.jpeg"/><Relationship Id="rId4" Type="http://schemas.openxmlformats.org/officeDocument/2006/relationships/image" Target="../media/image8.jpeg"/></Relationships>
</file>

<file path=xl/drawings/_rels/drawing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1.jpeg"/><Relationship Id="rId2"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4</xdr:col>
      <xdr:colOff>171450</xdr:colOff>
      <xdr:row>0</xdr:row>
      <xdr:rowOff>0</xdr:rowOff>
    </xdr:from>
    <xdr:to>
      <xdr:col>20</xdr:col>
      <xdr:colOff>438150</xdr:colOff>
      <xdr:row>18</xdr:row>
      <xdr:rowOff>175867</xdr:rowOff>
    </xdr:to>
    <xdr:pic>
      <xdr:nvPicPr>
        <xdr:cNvPr id="2" name="Picture 1" descr="Captura real - Laço, execução local em 22/10/2026 | Instituto Miau &amp; Companhia | Coordenador. ALI-04 - Cobertura parcial. Formulário real de Pipoca com identificação, espécie, idade, sexo, porte, energia, raça, tutela e outros campos. O CRUD usa repositório em memória, perdido ao recarregar. Nem todos os dados e registros lógicos catalogados são apresentados nesta tela. Dados demonstrativos; imagem estática."/>
        <xdr:cNvPicPr>
          <a:picLocks noChangeAspect="1"/>
        </xdr:cNvPicPr>
      </xdr:nvPicPr>
      <xdr:blipFill>
        <a:blip r:embed="rId1"/>
        <a:stretch>
          <a:fillRect/>
        </a:stretch>
      </xdr:blipFill>
      <xdr:spPr>
        <a:xfrm>
          <a:off x="0" y="0"/>
          <a:ext cx="10477500" cy="58972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4</xdr:col>
      <xdr:colOff>523875</xdr:colOff>
      <xdr:row>0</xdr:row>
      <xdr:rowOff>0</xdr:rowOff>
    </xdr:from>
    <xdr:to>
      <xdr:col>21</xdr:col>
      <xdr:colOff>180975</xdr:colOff>
      <xdr:row>17</xdr:row>
      <xdr:rowOff>226667</xdr:rowOff>
    </xdr:to>
    <xdr:pic>
      <xdr:nvPicPr>
        <xdr:cNvPr id="2" name="Picture 1" descr="Captura real - Laço, execução local em 22/10/2026 | Instituto Miau &amp; Companhia | Coordenador. ALI-05 - Cobertura parcial. Meus matches mostra Pipoca curtido na sessão. Não há data de salvamento e observação do favorito nem persistência do arquivo completo especificado. Dados demonstrativos; imagem estática."/>
        <xdr:cNvPicPr>
          <a:picLocks noChangeAspect="1"/>
        </xdr:cNvPicPr>
      </xdr:nvPicPr>
      <xdr:blipFill>
        <a:blip r:embed="rId1"/>
        <a:stretch>
          <a:fillRect/>
        </a:stretch>
      </xdr:blipFill>
      <xdr:spPr>
        <a:xfrm>
          <a:off x="0" y="0"/>
          <a:ext cx="10477500" cy="58972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4</xdr:col>
      <xdr:colOff>504825</xdr:colOff>
      <xdr:row>0</xdr:row>
      <xdr:rowOff>0</xdr:rowOff>
    </xdr:from>
    <xdr:to>
      <xdr:col>21</xdr:col>
      <xdr:colOff>161925</xdr:colOff>
      <xdr:row>18</xdr:row>
      <xdr:rowOff>86967</xdr:rowOff>
    </xdr:to>
    <xdr:pic>
      <xdr:nvPicPr>
        <xdr:cNvPr id="2" name="Picture 1" descr="Captura real - Laço, execução local em 22/10/2026 | Instituto Miau &amp; Companhia | Coordenador. AIE-03 - Função ausente. Captura de contexto: Raça é um campo de texto livre no formulário real. Não há catálogo externo, busca de raças ou leitura de seus registros e atributos especificados. Dados demonstrativos; imagem estática."/>
        <xdr:cNvPicPr>
          <a:picLocks noChangeAspect="1"/>
        </xdr:cNvPicPr>
      </xdr:nvPicPr>
      <xdr:blipFill>
        <a:blip r:embed="rId1"/>
        <a:stretch>
          <a:fillRect/>
        </a:stretch>
      </xdr:blipFill>
      <xdr:spPr>
        <a:xfrm>
          <a:off x="0" y="0"/>
          <a:ext cx="10477500" cy="58972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4</xdr:col>
      <xdr:colOff>419101</xdr:colOff>
      <xdr:row>0</xdr:row>
      <xdr:rowOff>0</xdr:rowOff>
    </xdr:from>
    <xdr:to>
      <xdr:col>21</xdr:col>
      <xdr:colOff>76201</xdr:colOff>
      <xdr:row>18</xdr:row>
      <xdr:rowOff>67917</xdr:rowOff>
    </xdr:to>
    <xdr:pic>
      <xdr:nvPicPr>
        <xdr:cNvPr id="2" name="Picture 1" descr="Captura real - Laço, execução local em 22/10/2026 | Instituto Miau &amp; Companhia | Coordenador. AIE-06 - Função ausente. O prontuário real mostra V10 e antirrábica em dia, a partir de dados locais demonstrativos. Não existe integração com histórico externo de vacinação nem retorno da próxima dose especificada. Dados demonstrativos; imagem estática."/>
        <xdr:cNvPicPr>
          <a:picLocks noChangeAspect="1"/>
        </xdr:cNvPicPr>
      </xdr:nvPicPr>
      <xdr:blipFill>
        <a:blip r:embed="rId1"/>
        <a:stretch>
          <a:fillRect/>
        </a:stretch>
      </xdr:blipFill>
      <xdr:spPr>
        <a:xfrm>
          <a:off x="0" y="0"/>
          <a:ext cx="10477500" cy="5897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4</xdr:col>
      <xdr:colOff>219075</xdr:colOff>
      <xdr:row>0</xdr:row>
      <xdr:rowOff>0</xdr:rowOff>
    </xdr:from>
    <xdr:to>
      <xdr:col>20</xdr:col>
      <xdr:colOff>485775</xdr:colOff>
      <xdr:row>12</xdr:row>
      <xdr:rowOff>42517</xdr:rowOff>
    </xdr:to>
    <xdr:pic>
      <xdr:nvPicPr>
        <xdr:cNvPr id="2" name="Picture 1" descr="Captura real - Laço, execução local em 22/10/2026 | Instituto Miau &amp; Companhia | Coordenador. EE-07 - Cobertura parcial. Formulário real de inclusão preenchido com a animal fictícia Lola, sem submeter o cadastro. O projeto oferece criação em memória; o conjunto de campos difere do inventário completo desta EE. Dados demonstrativos; imagem estática."/>
        <xdr:cNvPicPr>
          <a:picLocks noChangeAspect="1"/>
        </xdr:cNvPicPr>
      </xdr:nvPicPr>
      <xdr:blipFill>
        <a:blip r:embed="rId1"/>
        <a:stretch>
          <a:fillRect/>
        </a:stretch>
      </xdr:blipFill>
      <xdr:spPr>
        <a:xfrm>
          <a:off x="0" y="0"/>
          <a:ext cx="10477500" cy="5897217"/>
        </a:xfrm>
        <a:prstGeom prst="rect">
          <a:avLst/>
        </a:prstGeom>
      </xdr:spPr>
    </xdr:pic>
    <xdr:clientData/>
  </xdr:twoCellAnchor>
  <xdr:twoCellAnchor editAs="oneCell">
    <xdr:from>
      <xdr:col>4</xdr:col>
      <xdr:colOff>104775</xdr:colOff>
      <xdr:row>41</xdr:row>
      <xdr:rowOff>133350</xdr:rowOff>
    </xdr:from>
    <xdr:to>
      <xdr:col>20</xdr:col>
      <xdr:colOff>371475</xdr:colOff>
      <xdr:row>53</xdr:row>
      <xdr:rowOff>23467</xdr:rowOff>
    </xdr:to>
    <xdr:pic>
      <xdr:nvPicPr>
        <xdr:cNvPr id="3" name="Picture 2" descr="Captura real - Laço, execução local em 22/10/2026 | Instituto Miau &amp; Companhia | Coordenador. EE-08 - Cobertura parcial. Formulário real de edição de Pipoca, aberto com dados do repositório em memória. Nenhuma alteração foi salva nesta captura; os campos e a persistência diferem da especificação completa. Dados demonstrativos; imagem estática."/>
        <xdr:cNvPicPr>
          <a:picLocks noChangeAspect="1"/>
        </xdr:cNvPicPr>
      </xdr:nvPicPr>
      <xdr:blipFill>
        <a:blip r:embed="rId2"/>
        <a:stretch>
          <a:fillRect/>
        </a:stretch>
      </xdr:blipFill>
      <xdr:spPr>
        <a:xfrm>
          <a:off x="0" y="0"/>
          <a:ext cx="10477500" cy="5897217"/>
        </a:xfrm>
        <a:prstGeom prst="rect">
          <a:avLst/>
        </a:prstGeom>
      </xdr:spPr>
    </xdr:pic>
    <xdr:clientData/>
  </xdr:twoCellAnchor>
  <xdr:twoCellAnchor editAs="oneCell">
    <xdr:from>
      <xdr:col>4</xdr:col>
      <xdr:colOff>0</xdr:colOff>
      <xdr:row>84</xdr:row>
      <xdr:rowOff>0</xdr:rowOff>
    </xdr:from>
    <xdr:to>
      <xdr:col>20</xdr:col>
      <xdr:colOff>266700</xdr:colOff>
      <xdr:row>96</xdr:row>
      <xdr:rowOff>188567</xdr:rowOff>
    </xdr:to>
    <xdr:pic>
      <xdr:nvPicPr>
        <xdr:cNvPr id="4" name="Picture 3" descr="Captura real - Laço, execução local em 22/10/2026 | Instituto Miau &amp; Companhia | Coordenador. EE-09 - Cobertura parcial. A lista real contém o comando de exclusão ao lado de Pipoca. Nenhuma exclusão foi executada. A captura não comprova validação dos vínculos propostos nem retorno de exclusão; o repositório é em memória. Dados demonstrativos; imagem estática."/>
        <xdr:cNvPicPr>
          <a:picLocks noChangeAspect="1"/>
        </xdr:cNvPicPr>
      </xdr:nvPicPr>
      <xdr:blipFill>
        <a:blip r:embed="rId3"/>
        <a:stretch>
          <a:fillRect/>
        </a:stretch>
      </xdr:blipFill>
      <xdr:spPr>
        <a:xfrm>
          <a:off x="0" y="0"/>
          <a:ext cx="10477500" cy="5897217"/>
        </a:xfrm>
        <a:prstGeom prst="rect">
          <a:avLst/>
        </a:prstGeom>
      </xdr:spPr>
    </xdr:pic>
    <xdr:clientData/>
  </xdr:twoCellAnchor>
  <xdr:twoCellAnchor editAs="oneCell">
    <xdr:from>
      <xdr:col>4</xdr:col>
      <xdr:colOff>0</xdr:colOff>
      <xdr:row>109</xdr:row>
      <xdr:rowOff>0</xdr:rowOff>
    </xdr:from>
    <xdr:to>
      <xdr:col>20</xdr:col>
      <xdr:colOff>266700</xdr:colOff>
      <xdr:row>120</xdr:row>
      <xdr:rowOff>290167</xdr:rowOff>
    </xdr:to>
    <xdr:pic>
      <xdr:nvPicPr>
        <xdr:cNvPr id="5" name="Picture 4" descr="Captura real - Laço, execução local em 22/10/2026 | Instituto Miau &amp; Companhia | Coordenador. EE-10 - Cobertura parcial. Após registrar interesse, a ficha real informa Já está nos seus matches. O estado é local à sessão; data, observação e manutenção conjunta dos arquivos completos especificados não são evidenciadas. Dados demonstrativos; imagem estática."/>
        <xdr:cNvPicPr>
          <a:picLocks noChangeAspect="1"/>
        </xdr:cNvPicPr>
      </xdr:nvPicPr>
      <xdr:blipFill>
        <a:blip r:embed="rId4"/>
        <a:stretch>
          <a:fillRect/>
        </a:stretch>
      </xdr:blipFill>
      <xdr:spPr>
        <a:xfrm>
          <a:off x="0" y="0"/>
          <a:ext cx="10477500" cy="58972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4</xdr:col>
      <xdr:colOff>238125</xdr:colOff>
      <xdr:row>0</xdr:row>
      <xdr:rowOff>0</xdr:rowOff>
    </xdr:from>
    <xdr:to>
      <xdr:col>20</xdr:col>
      <xdr:colOff>504825</xdr:colOff>
      <xdr:row>10</xdr:row>
      <xdr:rowOff>385417</xdr:rowOff>
    </xdr:to>
    <xdr:pic>
      <xdr:nvPicPr>
        <xdr:cNvPr id="2" name="Picture 1" descr="Captura real - Laço, execução local em 22/10/2026 | Instituto Miau &amp; Companhia | Coordenador. SE-05 - Cobertura parcial. O relatório real apresenta acervo, custo médio e série demonstrativa de adoções e devoluções. Não calcula a conversão entre solicitações e conclusões proposta na especificação. A memória abaixo utiliza bases didáticas independentes deste print. Dados demonstrativos; imagem estática."/>
        <xdr:cNvPicPr>
          <a:picLocks noChangeAspect="1"/>
        </xdr:cNvPicPr>
      </xdr:nvPicPr>
      <xdr:blipFill>
        <a:blip r:embed="rId1"/>
        <a:stretch>
          <a:fillRect/>
        </a:stretch>
      </xdr:blipFill>
      <xdr:spPr>
        <a:xfrm>
          <a:off x="0" y="0"/>
          <a:ext cx="10477500" cy="58972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4</xdr:col>
      <xdr:colOff>0</xdr:colOff>
      <xdr:row>1</xdr:row>
      <xdr:rowOff>0</xdr:rowOff>
    </xdr:from>
    <xdr:to>
      <xdr:col>20</xdr:col>
      <xdr:colOff>266700</xdr:colOff>
      <xdr:row>13</xdr:row>
      <xdr:rowOff>309217</xdr:rowOff>
    </xdr:to>
    <xdr:pic>
      <xdr:nvPicPr>
        <xdr:cNvPr id="2" name="Picture 1" descr="Captura real - Laço, execução local em 22/10/2026 | Instituto Miau &amp; Companhia | Coordenador. SE-06 - Função especificada ausente. A lista real mostra os animais curtidos na sessão e seus scores individuais. Não há ranking agregado de favoritos por pet, pares únicos ou data máxima. A memória abaixo demonstra o ranking proposto na especificação. Dados demonstrativos; imagem estática."/>
        <xdr:cNvPicPr>
          <a:picLocks noChangeAspect="1"/>
        </xdr:cNvPicPr>
      </xdr:nvPicPr>
      <xdr:blipFill>
        <a:blip r:embed="rId1"/>
        <a:stretch>
          <a:fillRect/>
        </a:stretch>
      </xdr:blipFill>
      <xdr:spPr>
        <a:xfrm>
          <a:off x="0" y="0"/>
          <a:ext cx="10477500" cy="58972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4</xdr:col>
      <xdr:colOff>238125</xdr:colOff>
      <xdr:row>0</xdr:row>
      <xdr:rowOff>0</xdr:rowOff>
    </xdr:from>
    <xdr:to>
      <xdr:col>20</xdr:col>
      <xdr:colOff>504825</xdr:colOff>
      <xdr:row>13</xdr:row>
      <xdr:rowOff>328267</xdr:rowOff>
    </xdr:to>
    <xdr:pic>
      <xdr:nvPicPr>
        <xdr:cNvPr id="2" name="Picture 1" descr="Captura real - Laço, execução local em 22/10/2026 | Instituto Miau &amp; Companhia | Coordenador. CE-05 / entrada - Cobertura parcial. A gestão real oferece pesquisa por nome ou raça dentro do cliente selecionado. O campo ainda está vazio; não há filtro por situação. Os indicadores acima da lista pertencem ao painel e não são uma derivação desta consulta. Dados demonstrativos; imagem estática."/>
        <xdr:cNvPicPr>
          <a:picLocks noChangeAspect="1"/>
        </xdr:cNvPicPr>
      </xdr:nvPicPr>
      <xdr:blipFill>
        <a:blip r:embed="rId1"/>
        <a:stretch>
          <a:fillRect/>
        </a:stretch>
      </xdr:blipFill>
      <xdr:spPr>
        <a:xfrm>
          <a:off x="0" y="0"/>
          <a:ext cx="10477500" cy="5897217"/>
        </a:xfrm>
        <a:prstGeom prst="rect">
          <a:avLst/>
        </a:prstGeom>
      </xdr:spPr>
    </xdr:pic>
    <xdr:clientData/>
  </xdr:twoCellAnchor>
  <xdr:twoCellAnchor editAs="oneCell">
    <xdr:from>
      <xdr:col>4</xdr:col>
      <xdr:colOff>257175</xdr:colOff>
      <xdr:row>16</xdr:row>
      <xdr:rowOff>114300</xdr:rowOff>
    </xdr:from>
    <xdr:to>
      <xdr:col>20</xdr:col>
      <xdr:colOff>523875</xdr:colOff>
      <xdr:row>38</xdr:row>
      <xdr:rowOff>29817</xdr:rowOff>
    </xdr:to>
    <xdr:pic>
      <xdr:nvPicPr>
        <xdr:cNvPr id="3" name="Picture 2" descr="Captura real - Laço, execução local em 22/10/2026 | Instituto Miau &amp; Companhia | Coordenador. CE-05 / saída - Cobertura parcial. Pesquisa real por Pipoca retorna uma linha do acervo do cliente. Não há filtro por situação nem todas as colunas do resultado especificado. Os indicadores do painel são independentes do filtro da consulta. Dados demonstrativos; imagem estática."/>
        <xdr:cNvPicPr>
          <a:picLocks noChangeAspect="1"/>
        </xdr:cNvPicPr>
      </xdr:nvPicPr>
      <xdr:blipFill>
        <a:blip r:embed="rId2"/>
        <a:stretch>
          <a:fillRect/>
        </a:stretch>
      </xdr:blipFill>
      <xdr:spPr>
        <a:xfrm>
          <a:off x="0" y="0"/>
          <a:ext cx="10477500" cy="58972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editAs="oneCell">
    <xdr:from>
      <xdr:col>4</xdr:col>
      <xdr:colOff>409575</xdr:colOff>
      <xdr:row>0</xdr:row>
      <xdr:rowOff>0</xdr:rowOff>
    </xdr:from>
    <xdr:to>
      <xdr:col>21</xdr:col>
      <xdr:colOff>66675</xdr:colOff>
      <xdr:row>13</xdr:row>
      <xdr:rowOff>169517</xdr:rowOff>
    </xdr:to>
    <xdr:pic>
      <xdr:nvPicPr>
        <xdr:cNvPr id="2" name="Picture 1" descr="Captura real - Laço, execução local em 22/10/2026 | Instituto Miau &amp; Companhia | Coordenador. CE-06 / entrada - Consulta por e-mail e instituição ausente. A imagem mostra os curtidos da sessão atual. A aplicação não oferece os campos de busca especificados; a seleção do cliente apenas define o contexto da sessão. Dados demonstrativos; imagem estática."/>
        <xdr:cNvPicPr>
          <a:picLocks noChangeAspect="1"/>
        </xdr:cNvPicPr>
      </xdr:nvPicPr>
      <xdr:blipFill>
        <a:blip r:embed="rId1"/>
        <a:stretch>
          <a:fillRect/>
        </a:stretch>
      </xdr:blipFill>
      <xdr:spPr>
        <a:xfrm>
          <a:off x="0" y="0"/>
          <a:ext cx="10477500" cy="5897217"/>
        </a:xfrm>
        <a:prstGeom prst="rect">
          <a:avLst/>
        </a:prstGeom>
      </xdr:spPr>
    </xdr:pic>
    <xdr:clientData/>
  </xdr:twoCellAnchor>
  <xdr:twoCellAnchor editAs="oneCell">
    <xdr:from>
      <xdr:col>4</xdr:col>
      <xdr:colOff>333375</xdr:colOff>
      <xdr:row>17</xdr:row>
      <xdr:rowOff>47625</xdr:rowOff>
    </xdr:from>
    <xdr:to>
      <xdr:col>20</xdr:col>
      <xdr:colOff>600075</xdr:colOff>
      <xdr:row>38</xdr:row>
      <xdr:rowOff>134592</xdr:rowOff>
    </xdr:to>
    <xdr:pic>
      <xdr:nvPicPr>
        <xdr:cNvPr id="3" name="Picture 2" descr="Captura real - Laço, execução local em 22/10/2026 | Instituto Miau &amp; Companhia | Coordenador. CE-06 / saída - Cobertura parcial apenas como contexto. A ficha de Pipoca pode ser aberta a partir do animal curtido, mas não é resultado de busca por e-mail e instituição; data e observação do favorito não são exibidas. Dados demonstrativos; imagem estática."/>
        <xdr:cNvPicPr>
          <a:picLocks noChangeAspect="1"/>
        </xdr:cNvPicPr>
      </xdr:nvPicPr>
      <xdr:blipFill>
        <a:blip r:embed="rId2"/>
        <a:stretch>
          <a:fillRect/>
        </a:stretch>
      </xdr:blipFill>
      <xdr:spPr>
        <a:xfrm>
          <a:off x="0" y="0"/>
          <a:ext cx="10477500" cy="5897217"/>
        </a:xfrm>
        <a:prstGeom prst="rect">
          <a:avLst/>
        </a:prstGeom>
      </xdr:spPr>
    </xdr:pic>
    <xdr:clientData/>
  </xdr:twoCellAnchor>
</xdr:wsDr>
</file>

<file path=xl/theme/theme1.xml><?xml version="1.0" encoding="utf-8"?>
<a:theme xmlns:a="http://schemas.openxmlformats.org/drawingml/2006/main" name="Craft">
  <a:themeElements>
    <a:clrScheme name="Craf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raft">
      <a:majorFont>
        <a:latin typeface="Calibri"/>
        <a:ea typeface=""/>
        <a:cs typeface=""/>
      </a:majorFont>
      <a:minorFont>
        <a:latin typeface="Calibri"/>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sheetPr>
    <pageSetUpPr fitToPage="1"/>
  </sheetPr>
  <dimension ref="A1:D25"/>
  <sheetViews>
    <sheetView showGridLines="0" topLeftCell="A23" workbookViewId="0">
      <selection activeCell="D26" sqref="D26"/>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0</v>
      </c>
      <c r="B1" s="8"/>
      <c r="C1" s="8"/>
      <c r="D1" s="9"/>
    </row>
    <row r="2" ht="22.5" customHeight="1">
      <c r="A2" s="12" t="s">
        <v>1</v>
      </c>
      <c r="B2" s="13" t="s">
        <v>2</v>
      </c>
      <c r="C2" s="14"/>
      <c r="D2" s="15"/>
    </row>
    <row r="3" ht="42" customHeight="1"/>
    <row r="4" ht="45" customHeight="1">
      <c r="A4" s="16" t="s">
        <v>3</v>
      </c>
      <c r="B4" s="16" t="s">
        <v>4</v>
      </c>
      <c r="C4" s="16" t="s">
        <v>5</v>
      </c>
      <c r="D4" s="16" t="s">
        <v>6</v>
      </c>
    </row>
    <row r="5" ht="72" customHeight="1">
      <c r="A5" s="12" t="s">
        <v>7</v>
      </c>
      <c r="B5" s="12" t="s">
        <v>8</v>
      </c>
      <c r="C5" s="12" t="s">
        <v>9</v>
      </c>
      <c r="D5" s="12">
        <f>'ALI-04 Perfil pet'!B30</f>
        <v>7</v>
      </c>
    </row>
    <row r="6" ht="65" customHeight="1">
      <c r="A6" s="12" t="s">
        <v>10</v>
      </c>
      <c r="B6" s="12" t="s">
        <v>11</v>
      </c>
      <c r="C6" s="12" t="s">
        <v>9</v>
      </c>
      <c r="D6" s="12">
        <f>'ALI-05 Favoritos'!B18</f>
        <v>7</v>
      </c>
    </row>
    <row r="7" ht="19.5" customHeight="1">
      <c r="A7" s="12" t="s">
        <v>12</v>
      </c>
      <c r="B7" s="12" t="s">
        <v>13</v>
      </c>
      <c r="C7" s="12" t="s">
        <v>14</v>
      </c>
      <c r="D7" s="12">
        <f>'AIE-03 Raças'!B19</f>
        <v>5</v>
      </c>
    </row>
    <row r="8" ht="20" customHeight="1">
      <c r="A8" s="12" t="s">
        <v>15</v>
      </c>
      <c r="B8" s="12" t="s">
        <v>16</v>
      </c>
      <c r="C8" s="12" t="s">
        <v>14</v>
      </c>
      <c r="D8" s="12">
        <f>'AIE-06 Vacinação'!B19</f>
        <v>5</v>
      </c>
    </row>
    <row r="9" ht="30" customHeight="1">
      <c r="A9" s="12" t="s">
        <v>17</v>
      </c>
      <c r="B9" s="12" t="s">
        <v>18</v>
      </c>
      <c r="C9" s="12" t="s">
        <v>19</v>
      </c>
      <c r="D9" s="12">
        <f>'EE - Gustavo'!B39</f>
        <v>6</v>
      </c>
    </row>
    <row r="10" ht="30" customHeight="1">
      <c r="A10" s="12" t="s">
        <v>20</v>
      </c>
      <c r="B10" s="12" t="s">
        <v>21</v>
      </c>
      <c r="C10" s="12" t="s">
        <v>19</v>
      </c>
      <c r="D10" s="12">
        <f>'EE - Gustavo'!B81</f>
        <v>6</v>
      </c>
    </row>
    <row r="11" ht="30" customHeight="1">
      <c r="A11" s="12" t="s">
        <v>22</v>
      </c>
      <c r="B11" s="12" t="s">
        <v>23</v>
      </c>
      <c r="C11" s="12" t="s">
        <v>19</v>
      </c>
      <c r="D11" s="12">
        <f>'EE - Gustavo'!B106</f>
        <v>4</v>
      </c>
    </row>
    <row r="12" ht="30" customHeight="1">
      <c r="A12" s="12" t="s">
        <v>24</v>
      </c>
      <c r="B12" s="12" t="s">
        <v>25</v>
      </c>
      <c r="C12" s="12" t="s">
        <v>19</v>
      </c>
      <c r="D12" s="12">
        <f>'EE - Gustavo'!B135</f>
        <v>6</v>
      </c>
    </row>
    <row r="13" ht="30" customHeight="1">
      <c r="A13" s="12" t="s">
        <v>26</v>
      </c>
      <c r="B13" s="12" t="s">
        <v>27</v>
      </c>
      <c r="C13" s="12" t="s">
        <v>28</v>
      </c>
      <c r="D13" s="12">
        <f>'SE-05 Saída'!B32</f>
        <v>7</v>
      </c>
    </row>
    <row r="14" ht="30" customHeight="1">
      <c r="A14" s="12" t="s">
        <v>29</v>
      </c>
      <c r="B14" s="12" t="s">
        <v>30</v>
      </c>
      <c r="C14" s="12" t="s">
        <v>28</v>
      </c>
      <c r="D14" s="12">
        <f>'SE-06 Saída'!B26</f>
        <v>5</v>
      </c>
    </row>
    <row r="15" ht="30" customHeight="1">
      <c r="A15" s="12" t="s">
        <v>31</v>
      </c>
      <c r="B15" s="12" t="s">
        <v>32</v>
      </c>
      <c r="C15" s="12" t="s">
        <v>33</v>
      </c>
      <c r="D15" s="12">
        <f>'CE-05 Consulta'!B26</f>
        <v>3</v>
      </c>
    </row>
    <row r="16" ht="30" customHeight="1">
      <c r="A16" s="12" t="s">
        <v>34</v>
      </c>
      <c r="B16" s="12" t="s">
        <v>35</v>
      </c>
      <c r="C16" s="12" t="s">
        <v>33</v>
      </c>
      <c r="D16" s="12">
        <f>'CE-06 Consulta'!B25</f>
        <v>4</v>
      </c>
    </row>
    <row r="17" ht="30" customHeight="1">
      <c r="A17" s="7" t="s">
        <v>36</v>
      </c>
      <c r="B17" s="8"/>
      <c r="C17" s="9"/>
      <c r="D17" s="16">
        <f>IF(COUNT(D5:D16)=ROWS(D5:D16),SUM(D5:D16),"Dados pendentes")</f>
        <v>65</v>
      </c>
    </row>
    <row r="18" ht="30" customHeight="1"/>
    <row r="19" ht="30" customHeight="1">
      <c r="A19" s="37" t="s">
        <v>37</v>
      </c>
      <c r="B19" s="38"/>
      <c r="C19" s="38"/>
      <c r="D19" s="39"/>
    </row>
    <row r="20" ht="30" customHeight="1">
      <c r="A20" s="40" t="s">
        <v>38</v>
      </c>
      <c r="B20" s="68">
        <f>'NI e estimativas'!B3</f>
        <v>25</v>
      </c>
      <c r="C20" s="17" t="s">
        <v>39</v>
      </c>
      <c r="D20" s="19"/>
    </row>
    <row r="21" ht="22.5" customHeight="1">
      <c r="A21" s="40" t="s">
        <v>40</v>
      </c>
      <c r="B21" s="44">
        <f>'NI e estimativas'!B4</f>
        <v>0.9</v>
      </c>
      <c r="C21" s="17" t="s">
        <v>41</v>
      </c>
      <c r="D21" s="19"/>
    </row>
    <row r="22" ht="19.5" customHeight="1">
      <c r="A22" s="40" t="s">
        <v>42</v>
      </c>
      <c r="B22" s="44">
        <f>'NI e estimativas'!B5</f>
        <v>58.5</v>
      </c>
      <c r="C22" s="17" t="s">
        <v>43</v>
      </c>
      <c r="D22" s="19"/>
    </row>
    <row r="23" ht="45" customHeight="1">
      <c r="A23" s="40" t="s">
        <v>44</v>
      </c>
      <c r="B23" s="44">
        <f>'NI e estimativas'!B42</f>
        <v>702</v>
      </c>
      <c r="C23" s="17" t="s">
        <v>45</v>
      </c>
      <c r="D23" s="19"/>
    </row>
    <row r="24" ht="57" customHeight="1">
      <c r="A24" s="40" t="s">
        <v>46</v>
      </c>
      <c r="B24" s="68">
        <f>'NI e estimativas'!B45</f>
        <v>117</v>
      </c>
      <c r="C24" s="17" t="s">
        <v>47</v>
      </c>
      <c r="D24" s="19"/>
    </row>
    <row r="25" ht="64" customHeight="1">
      <c r="A25" s="40" t="s">
        <v>48</v>
      </c>
      <c r="B25" s="48">
        <f>'NI e estimativas'!B49</f>
        <v>35100</v>
      </c>
      <c r="C25" s="17" t="s">
        <v>49</v>
      </c>
      <c r="D25" s="19"/>
    </row>
    <row r="27" ht="28" customHeight="1"/>
    <row r="28" ht="34" customHeight="1"/>
    <row r="29" ht="34" customHeight="1"/>
    <row r="30" ht="34" customHeight="1"/>
    <row r="31" ht="34" customHeight="1"/>
    <row r="32" ht="34" customHeight="1"/>
    <row r="33" ht="34" customHeight="1"/>
    <row r="34" ht="40" customHeight="1"/>
  </sheetData>
  <mergeCells count="10">
    <mergeCell ref="A1:D1"/>
    <mergeCell ref="A17:C17"/>
    <mergeCell ref="B2:D2"/>
    <mergeCell ref="A19:D19"/>
    <mergeCell ref="C20:D20"/>
    <mergeCell ref="C21:D21"/>
    <mergeCell ref="C22:D22"/>
    <mergeCell ref="C23:D23"/>
    <mergeCell ref="C24:D24"/>
    <mergeCell ref="C25:D25"/>
  </mergeCells>
  <pageMargins left="0.699999988079071" right="0.699999988079071" top="0.75" bottom="0.75" header="0.30000001192092896" footer="0.30000001192092896"/>
  <pageSetup paperSize="9" fitToWidth="1"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D33"/>
  <sheetViews>
    <sheetView showGridLines="0" topLeftCell="A28" workbookViewId="0">
      <selection activeCell="A1" sqref="A1"/>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50</v>
      </c>
      <c r="B1" s="8"/>
      <c r="C1" s="8"/>
      <c r="D1" s="9"/>
    </row>
    <row r="2" ht="22.5" customHeight="1">
      <c r="A2" s="12" t="s">
        <v>51</v>
      </c>
      <c r="B2" s="13" t="s">
        <v>52</v>
      </c>
      <c r="C2" s="14"/>
      <c r="D2" s="15"/>
    </row>
    <row r="3" ht="22.5" customHeight="1">
      <c r="A3" s="12" t="s">
        <v>5</v>
      </c>
      <c r="B3" s="13" t="s">
        <v>53</v>
      </c>
      <c r="C3" s="14"/>
      <c r="D3" s="15"/>
    </row>
    <row r="4" ht="33" customHeight="1">
      <c r="A4" s="12" t="s">
        <v>54</v>
      </c>
      <c r="B4" s="13" t="s">
        <v>55</v>
      </c>
      <c r="C4" s="14"/>
      <c r="D4" s="15"/>
    </row>
    <row r="5" ht="22.5" customHeight="1">
      <c r="A5" s="12" t="s">
        <v>56</v>
      </c>
      <c r="B5" s="13" t="s">
        <v>57</v>
      </c>
      <c r="C5" s="14"/>
      <c r="D5" s="15"/>
    </row>
    <row r="6" ht="33" customHeight="1">
      <c r="A6" s="12" t="s">
        <v>58</v>
      </c>
      <c r="B6" s="13" t="s">
        <v>59</v>
      </c>
      <c r="C6" s="14"/>
      <c r="D6" s="15"/>
    </row>
    <row r="7" ht="19.5" customHeight="1"/>
    <row r="8" ht="20" customHeight="1">
      <c r="A8" s="16" t="s">
        <v>60</v>
      </c>
      <c r="B8" s="16" t="s">
        <v>61</v>
      </c>
      <c r="C8" s="16" t="s">
        <v>5</v>
      </c>
      <c r="D8" s="16" t="s">
        <v>62</v>
      </c>
    </row>
    <row r="9" ht="25.5" customHeight="1">
      <c r="A9" s="12" t="s">
        <v>63</v>
      </c>
      <c r="B9" s="12" t="s">
        <v>64</v>
      </c>
      <c r="C9" s="12" t="s">
        <v>65</v>
      </c>
      <c r="D9" s="12" t="s">
        <v>66</v>
      </c>
    </row>
    <row r="10" ht="25.5" customHeight="1">
      <c r="A10" s="12" t="s">
        <v>63</v>
      </c>
      <c r="B10" s="12" t="s">
        <v>67</v>
      </c>
      <c r="C10" s="12" t="s">
        <v>65</v>
      </c>
      <c r="D10" s="12" t="s">
        <v>68</v>
      </c>
    </row>
    <row r="11" ht="25.5" customHeight="1">
      <c r="A11" s="12" t="s">
        <v>63</v>
      </c>
      <c r="B11" s="12" t="s">
        <v>69</v>
      </c>
      <c r="C11" s="12" t="s">
        <v>65</v>
      </c>
      <c r="D11" s="12" t="s">
        <v>70</v>
      </c>
    </row>
    <row r="12" ht="25.5" customHeight="1">
      <c r="A12" s="12" t="s">
        <v>63</v>
      </c>
      <c r="B12" s="12" t="s">
        <v>71</v>
      </c>
      <c r="C12" s="12" t="s">
        <v>65</v>
      </c>
      <c r="D12" s="12" t="s">
        <v>72</v>
      </c>
    </row>
    <row r="13" ht="25.5" customHeight="1">
      <c r="A13" s="12" t="s">
        <v>63</v>
      </c>
      <c r="B13" s="12" t="s">
        <v>73</v>
      </c>
      <c r="C13" s="12" t="s">
        <v>65</v>
      </c>
      <c r="D13" s="12" t="s">
        <v>74</v>
      </c>
    </row>
    <row r="14" ht="25.5" customHeight="1">
      <c r="A14" s="12" t="s">
        <v>63</v>
      </c>
      <c r="B14" s="12" t="s">
        <v>75</v>
      </c>
      <c r="C14" s="12" t="s">
        <v>65</v>
      </c>
      <c r="D14" s="12" t="s">
        <v>76</v>
      </c>
    </row>
    <row r="15" ht="25.5" customHeight="1">
      <c r="A15" s="12" t="s">
        <v>63</v>
      </c>
      <c r="B15" s="12" t="s">
        <v>77</v>
      </c>
      <c r="C15" s="12" t="s">
        <v>65</v>
      </c>
      <c r="D15" s="12" t="s">
        <v>78</v>
      </c>
    </row>
    <row r="16" ht="25.5" customHeight="1">
      <c r="A16" s="12" t="s">
        <v>63</v>
      </c>
      <c r="B16" s="12" t="s">
        <v>79</v>
      </c>
      <c r="C16" s="12" t="s">
        <v>65</v>
      </c>
      <c r="D16" s="12" t="s">
        <v>80</v>
      </c>
    </row>
    <row r="17" ht="25.5" customHeight="1">
      <c r="A17" s="12" t="s">
        <v>63</v>
      </c>
      <c r="B17" s="12" t="s">
        <v>81</v>
      </c>
      <c r="C17" s="12" t="s">
        <v>65</v>
      </c>
      <c r="D17" s="12" t="s">
        <v>82</v>
      </c>
    </row>
    <row r="18" ht="25.5" customHeight="1">
      <c r="A18" s="12" t="s">
        <v>63</v>
      </c>
      <c r="B18" s="12" t="s">
        <v>83</v>
      </c>
      <c r="C18" s="12" t="s">
        <v>84</v>
      </c>
      <c r="D18" s="12" t="s">
        <v>85</v>
      </c>
    </row>
    <row r="19" ht="25.5" customHeight="1">
      <c r="A19" s="12" t="s">
        <v>63</v>
      </c>
      <c r="B19" s="12" t="s">
        <v>86</v>
      </c>
      <c r="C19" s="12" t="s">
        <v>87</v>
      </c>
      <c r="D19" s="12" t="s">
        <v>88</v>
      </c>
    </row>
    <row r="20" ht="25.5" customHeight="1">
      <c r="A20" s="12" t="s">
        <v>89</v>
      </c>
      <c r="B20" s="12" t="s">
        <v>90</v>
      </c>
      <c r="C20" s="12" t="s">
        <v>65</v>
      </c>
      <c r="D20" s="12" t="s">
        <v>91</v>
      </c>
    </row>
    <row r="21" ht="72" customHeight="1">
      <c r="A21" s="12" t="s">
        <v>89</v>
      </c>
      <c r="B21" s="12" t="s">
        <v>92</v>
      </c>
      <c r="C21" s="12" t="s">
        <v>65</v>
      </c>
      <c r="D21" s="12" t="s">
        <v>93</v>
      </c>
    </row>
    <row r="22" ht="25.5" customHeight="1">
      <c r="A22" s="12" t="s">
        <v>63</v>
      </c>
      <c r="B22" s="12" t="s">
        <v>94</v>
      </c>
      <c r="C22" s="12" t="s">
        <v>65</v>
      </c>
      <c r="D22" s="12" t="s">
        <v>95</v>
      </c>
    </row>
    <row r="23" ht="25.5" customHeight="1">
      <c r="A23" s="12" t="s">
        <v>63</v>
      </c>
      <c r="B23" s="12" t="s">
        <v>96</v>
      </c>
      <c r="C23" s="12" t="s">
        <v>65</v>
      </c>
      <c r="D23" s="12" t="s">
        <v>97</v>
      </c>
    </row>
    <row r="24" ht="25.5" customHeight="1">
      <c r="A24" s="12" t="s">
        <v>63</v>
      </c>
      <c r="B24" s="12" t="s">
        <v>98</v>
      </c>
      <c r="C24" s="12" t="s">
        <v>65</v>
      </c>
      <c r="D24" s="12" t="s">
        <v>99</v>
      </c>
    </row>
    <row r="25" ht="25.5" customHeight="1">
      <c r="A25" s="12" t="s">
        <v>63</v>
      </c>
      <c r="B25" s="12" t="s">
        <v>100</v>
      </c>
      <c r="C25" s="12" t="s">
        <v>65</v>
      </c>
      <c r="D25" s="12" t="s">
        <v>101</v>
      </c>
    </row>
    <row r="26" ht="19.5" customHeight="1"/>
    <row r="27" ht="91.5" customHeight="1">
      <c r="A27" s="12" t="s">
        <v>102</v>
      </c>
      <c r="B27" s="12" t="s">
        <v>103</v>
      </c>
      <c r="C27" s="13">
        <f>ROUND(SUMPRODUCT((A9:A25&lt;&gt;"")/COUNTIF(A9:A25,A9:A25&amp;"")),0)</f>
        <v>2</v>
      </c>
      <c r="D27" s="15"/>
    </row>
    <row r="28" ht="108" customHeight="1">
      <c r="A28" s="12" t="s">
        <v>102</v>
      </c>
      <c r="B28" s="12" t="s">
        <v>104</v>
      </c>
      <c r="C28" s="13">
        <f>COUNTA(B9:B25)</f>
        <v>17</v>
      </c>
      <c r="D28" s="15"/>
    </row>
    <row r="29" ht="33" customHeight="1">
      <c r="A29" s="12" t="s">
        <v>105</v>
      </c>
      <c r="B29" s="13" t="str">
        <f>IF(OR(NOT(ISNUMBER(C27)),NOT(ISNUMBER(C28)),C27&lt;=0,C28&lt;=0),"Dados pendentes",IF(C28&lt;=19,IF(C27&lt;=5,"Simples","Moderado"),IF(C28&lt;=50,IF(C27=1,"Simples",IF(C27&lt;=5,"Moderado","Complexo")),IF(C27=1,"Moderado","Complexo"))))</f>
        <v>Simples</v>
      </c>
      <c r="C29" s="14"/>
      <c r="D29" s="15"/>
    </row>
    <row r="30" ht="22.5" customHeight="1">
      <c r="A30" s="12" t="s">
        <v>106</v>
      </c>
      <c r="B30" s="13">
        <f>IF(B29="Simples",7,IF(B29="Moderado",10,IF(B29="Complexo",15,"Dados pendentes")))</f>
        <v>7</v>
      </c>
      <c r="C30" s="14"/>
      <c r="D30" s="15"/>
    </row>
    <row r="31" ht="19.5" customHeight="1"/>
    <row r="32" ht="117" customHeight="1">
      <c r="A32" s="12" t="s">
        <v>107</v>
      </c>
      <c r="B32" s="13" t="s">
        <v>108</v>
      </c>
      <c r="C32" s="14"/>
      <c r="D32" s="15"/>
    </row>
    <row r="33" ht="57" customHeight="1">
      <c r="A33" s="12" t="s">
        <v>109</v>
      </c>
      <c r="B33" s="13" t="s">
        <v>110</v>
      </c>
      <c r="C33" s="14"/>
      <c r="D33" s="15"/>
    </row>
  </sheetData>
  <mergeCells count="12">
    <mergeCell ref="A1:D1"/>
    <mergeCell ref="C27:D27"/>
    <mergeCell ref="C28:D28"/>
    <mergeCell ref="B2:D2"/>
    <mergeCell ref="B3:D3"/>
    <mergeCell ref="B4:D4"/>
    <mergeCell ref="B5:D5"/>
    <mergeCell ref="B6:D6"/>
    <mergeCell ref="B29:D29"/>
    <mergeCell ref="B30:D30"/>
    <mergeCell ref="B32:D32"/>
    <mergeCell ref="B33:D33"/>
  </mergeCells>
  <pageMargins left="0.699999988079071" right="0.699999988079071" top="0.75" bottom="0.75" header="0.30000001192092896" footer="0.30000001192092896"/>
  <pageSetup paperSize="8" fitToWidth="1" fitToHeight="0" orientation="landscape"/>
  <drawing r:id="rId1"/>
</worksheet>
</file>

<file path=xl/worksheets/sheet3.xml><?xml version="1.0" encoding="utf-8"?>
<worksheet xmlns="http://schemas.openxmlformats.org/spreadsheetml/2006/main" xmlns:r="http://schemas.openxmlformats.org/officeDocument/2006/relationships">
  <sheetPr>
    <pageSetUpPr fitToPage="1"/>
  </sheetPr>
  <dimension ref="A1:D21"/>
  <sheetViews>
    <sheetView showGridLines="0" workbookViewId="0">
      <selection activeCell="I20" sqref="I20"/>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111</v>
      </c>
      <c r="B1" s="8"/>
      <c r="C1" s="8"/>
      <c r="D1" s="9"/>
    </row>
    <row r="2" ht="22.5" customHeight="1">
      <c r="A2" s="12" t="s">
        <v>51</v>
      </c>
      <c r="B2" s="13" t="s">
        <v>52</v>
      </c>
      <c r="C2" s="14"/>
      <c r="D2" s="15"/>
    </row>
    <row r="3" ht="22.5" customHeight="1">
      <c r="A3" s="12" t="s">
        <v>5</v>
      </c>
      <c r="B3" s="13" t="s">
        <v>53</v>
      </c>
      <c r="C3" s="14"/>
      <c r="D3" s="15"/>
    </row>
    <row r="4" ht="33" customHeight="1">
      <c r="A4" s="12" t="s">
        <v>54</v>
      </c>
      <c r="B4" s="13" t="s">
        <v>112</v>
      </c>
      <c r="C4" s="14"/>
      <c r="D4" s="15"/>
    </row>
    <row r="5" ht="22.5" customHeight="1">
      <c r="A5" s="12" t="s">
        <v>56</v>
      </c>
      <c r="B5" s="13" t="s">
        <v>113</v>
      </c>
      <c r="C5" s="14"/>
      <c r="D5" s="15"/>
    </row>
    <row r="6" ht="33" customHeight="1">
      <c r="A6" s="12" t="s">
        <v>58</v>
      </c>
      <c r="B6" s="13" t="s">
        <v>114</v>
      </c>
      <c r="C6" s="14"/>
      <c r="D6" s="15"/>
    </row>
    <row r="7" ht="19.5" customHeight="1"/>
    <row r="8" ht="20" customHeight="1">
      <c r="A8" s="16" t="s">
        <v>60</v>
      </c>
      <c r="B8" s="16" t="s">
        <v>61</v>
      </c>
      <c r="C8" s="16" t="s">
        <v>5</v>
      </c>
      <c r="D8" s="16" t="s">
        <v>62</v>
      </c>
    </row>
    <row r="9" ht="25.5" customHeight="1">
      <c r="A9" s="12" t="s">
        <v>115</v>
      </c>
      <c r="B9" s="12" t="s">
        <v>116</v>
      </c>
      <c r="C9" s="12" t="s">
        <v>65</v>
      </c>
      <c r="D9" s="12" t="s">
        <v>117</v>
      </c>
    </row>
    <row r="10" ht="25.5" customHeight="1">
      <c r="A10" s="12" t="s">
        <v>115</v>
      </c>
      <c r="B10" s="12" t="s">
        <v>118</v>
      </c>
      <c r="C10" s="12" t="s">
        <v>65</v>
      </c>
      <c r="D10" s="12" t="s">
        <v>66</v>
      </c>
    </row>
    <row r="11" ht="25.5" customHeight="1">
      <c r="A11" s="12" t="s">
        <v>115</v>
      </c>
      <c r="B11" s="12" t="s">
        <v>119</v>
      </c>
      <c r="C11" s="12" t="s">
        <v>65</v>
      </c>
      <c r="D11" s="12" t="s">
        <v>99</v>
      </c>
    </row>
    <row r="12" ht="25.5" customHeight="1">
      <c r="A12" s="12" t="s">
        <v>115</v>
      </c>
      <c r="B12" s="12" t="s">
        <v>120</v>
      </c>
      <c r="C12" s="12" t="s">
        <v>121</v>
      </c>
      <c r="D12" s="12" t="s">
        <v>122</v>
      </c>
    </row>
    <row r="13" ht="25.5" customHeight="1">
      <c r="A13" s="12" t="s">
        <v>115</v>
      </c>
      <c r="B13" s="12" t="s">
        <v>123</v>
      </c>
      <c r="C13" s="12" t="s">
        <v>124</v>
      </c>
      <c r="D13" s="12" t="s">
        <v>125</v>
      </c>
    </row>
    <row r="14" ht="19.5" customHeight="1"/>
    <row r="15" ht="33" customHeight="1">
      <c r="A15" s="12" t="s">
        <v>102</v>
      </c>
      <c r="B15" s="12" t="s">
        <v>103</v>
      </c>
      <c r="C15" s="13">
        <f>ROUND(SUMPRODUCT((A9:A13&lt;&gt;"")/COUNTIF(A9:A13,A9:A13&amp;"")),0)</f>
        <v>1</v>
      </c>
      <c r="D15" s="15"/>
    </row>
    <row r="16" ht="38" customHeight="1">
      <c r="A16" s="12" t="s">
        <v>102</v>
      </c>
      <c r="B16" s="12" t="s">
        <v>104</v>
      </c>
      <c r="C16" s="13">
        <f>COUNTA(B9:B13)</f>
        <v>5</v>
      </c>
      <c r="D16" s="15"/>
    </row>
    <row r="17" ht="33" customHeight="1">
      <c r="A17" s="12" t="s">
        <v>105</v>
      </c>
      <c r="B17" s="13" t="str">
        <f>IF(OR(NOT(ISNUMBER(C15)),NOT(ISNUMBER(C16)),C15&lt;=0,C16&lt;=0),"Dados pendentes",IF(C16&lt;=19,IF(C15&lt;=5,"Simples","Moderado"),IF(C16&lt;=50,IF(C15=1,"Simples",IF(C15&lt;=5,"Moderado","Complexo")),IF(C15=1,"Moderado","Complexo"))))</f>
        <v>Simples</v>
      </c>
      <c r="C17" s="14"/>
      <c r="D17" s="15"/>
    </row>
    <row r="18" ht="22.5" customHeight="1">
      <c r="A18" s="12" t="s">
        <v>106</v>
      </c>
      <c r="B18" s="13">
        <f>IF(B17="Simples",7,IF(B17="Moderado",10,IF(B17="Complexo",15,"Dados pendentes")))</f>
        <v>7</v>
      </c>
      <c r="C18" s="14"/>
      <c r="D18" s="15"/>
    </row>
    <row r="19" ht="19.5" customHeight="1"/>
    <row r="20" ht="72" customHeight="1">
      <c r="A20" s="12" t="s">
        <v>107</v>
      </c>
      <c r="B20" s="13" t="s">
        <v>126</v>
      </c>
      <c r="C20" s="14"/>
      <c r="D20" s="15"/>
    </row>
    <row r="21" ht="72" customHeight="1">
      <c r="A21" s="12" t="s">
        <v>109</v>
      </c>
      <c r="B21" s="13" t="s">
        <v>127</v>
      </c>
      <c r="C21" s="14"/>
      <c r="D21" s="15"/>
    </row>
  </sheetData>
  <mergeCells count="12">
    <mergeCell ref="A1:D1"/>
    <mergeCell ref="C15:D15"/>
    <mergeCell ref="C16:D16"/>
    <mergeCell ref="B2:D2"/>
    <mergeCell ref="B3:D3"/>
    <mergeCell ref="B4:D4"/>
    <mergeCell ref="B5:D5"/>
    <mergeCell ref="B6:D6"/>
    <mergeCell ref="B17:D17"/>
    <mergeCell ref="B18:D18"/>
    <mergeCell ref="B20:D20"/>
    <mergeCell ref="B21:D21"/>
  </mergeCells>
  <pageMargins left="0.699999988079071" right="0.699999988079071" top="0.75" bottom="0.75" header="0.30000001192092896" footer="0.30000001192092896"/>
  <pageSetup paperSize="8" fitToWidth="1" fitToHeight="0" orientation="landscape"/>
  <drawing r:id="rId1"/>
</worksheet>
</file>

<file path=xl/worksheets/sheet4.xml><?xml version="1.0" encoding="utf-8"?>
<worksheet xmlns="http://schemas.openxmlformats.org/spreadsheetml/2006/main" xmlns:r="http://schemas.openxmlformats.org/officeDocument/2006/relationships">
  <sheetPr>
    <pageSetUpPr fitToPage="1"/>
  </sheetPr>
  <dimension ref="A1:D22"/>
  <sheetViews>
    <sheetView showGridLines="0" topLeftCell="A10" workbookViewId="0">
      <selection activeCell="G20" sqref="G20"/>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128</v>
      </c>
      <c r="B1" s="8"/>
      <c r="C1" s="8"/>
      <c r="D1" s="9"/>
    </row>
    <row r="2" ht="22.5" customHeight="1">
      <c r="A2" s="12" t="s">
        <v>51</v>
      </c>
      <c r="B2" s="13" t="s">
        <v>52</v>
      </c>
      <c r="C2" s="14"/>
      <c r="D2" s="15"/>
    </row>
    <row r="3" ht="22.5" customHeight="1">
      <c r="A3" s="12" t="s">
        <v>5</v>
      </c>
      <c r="B3" s="13" t="s">
        <v>129</v>
      </c>
      <c r="C3" s="14"/>
      <c r="D3" s="15"/>
    </row>
    <row r="4" ht="33" customHeight="1">
      <c r="A4" s="12" t="s">
        <v>54</v>
      </c>
      <c r="B4" s="13" t="s">
        <v>130</v>
      </c>
      <c r="C4" s="14"/>
      <c r="D4" s="15"/>
    </row>
    <row r="5" ht="22.5" customHeight="1">
      <c r="A5" s="12" t="s">
        <v>56</v>
      </c>
      <c r="B5" s="13" t="s">
        <v>131</v>
      </c>
      <c r="C5" s="14"/>
      <c r="D5" s="15"/>
    </row>
    <row r="6" ht="22.5" customHeight="1">
      <c r="A6" s="12" t="s">
        <v>58</v>
      </c>
      <c r="B6" s="13" t="s">
        <v>132</v>
      </c>
      <c r="C6" s="14"/>
      <c r="D6" s="15"/>
    </row>
    <row r="7" ht="22.5" customHeight="1">
      <c r="A7" s="12" t="s">
        <v>133</v>
      </c>
      <c r="B7" s="13" t="s">
        <v>134</v>
      </c>
      <c r="C7" s="14"/>
      <c r="D7" s="15"/>
    </row>
    <row r="8" ht="19.5" customHeight="1"/>
    <row r="9" ht="20" customHeight="1">
      <c r="A9" s="16" t="s">
        <v>60</v>
      </c>
      <c r="B9" s="16" t="s">
        <v>61</v>
      </c>
      <c r="C9" s="16" t="s">
        <v>5</v>
      </c>
      <c r="D9" s="16" t="s">
        <v>62</v>
      </c>
    </row>
    <row r="10" ht="25.5" customHeight="1">
      <c r="A10" s="12" t="s">
        <v>69</v>
      </c>
      <c r="B10" s="12" t="s">
        <v>94</v>
      </c>
      <c r="C10" s="12" t="s">
        <v>65</v>
      </c>
      <c r="D10" s="12" t="s">
        <v>95</v>
      </c>
    </row>
    <row r="11" ht="25.5" customHeight="1">
      <c r="A11" s="12" t="s">
        <v>69</v>
      </c>
      <c r="B11" s="12" t="s">
        <v>135</v>
      </c>
      <c r="C11" s="12" t="s">
        <v>65</v>
      </c>
      <c r="D11" s="12" t="s">
        <v>136</v>
      </c>
    </row>
    <row r="12" ht="25.5" customHeight="1">
      <c r="A12" s="12" t="s">
        <v>69</v>
      </c>
      <c r="B12" s="12" t="s">
        <v>137</v>
      </c>
      <c r="C12" s="12" t="s">
        <v>65</v>
      </c>
      <c r="D12" s="12" t="s">
        <v>138</v>
      </c>
    </row>
    <row r="13" ht="25.5" customHeight="1">
      <c r="A13" s="12" t="s">
        <v>69</v>
      </c>
      <c r="B13" s="12" t="s">
        <v>139</v>
      </c>
      <c r="C13" s="12" t="s">
        <v>65</v>
      </c>
      <c r="D13" s="12" t="s">
        <v>140</v>
      </c>
    </row>
    <row r="14" ht="25.5" customHeight="1">
      <c r="A14" s="12" t="s">
        <v>69</v>
      </c>
      <c r="B14" s="12" t="s">
        <v>83</v>
      </c>
      <c r="C14" s="12" t="s">
        <v>84</v>
      </c>
      <c r="D14" s="12" t="s">
        <v>141</v>
      </c>
    </row>
    <row r="15" ht="31.5" customHeight="1"/>
    <row r="16" ht="38" customHeight="1">
      <c r="A16" s="12" t="s">
        <v>102</v>
      </c>
      <c r="B16" s="12" t="s">
        <v>103</v>
      </c>
      <c r="C16" s="13">
        <f>ROUND(SUMPRODUCT((A10:A14&lt;&gt;"")/COUNTIF(A10:A14,A10:A14&amp;"")),0)</f>
        <v>1</v>
      </c>
      <c r="D16" s="15"/>
    </row>
    <row r="17" ht="20" customHeight="1">
      <c r="A17" s="12" t="s">
        <v>102</v>
      </c>
      <c r="B17" s="12" t="s">
        <v>104</v>
      </c>
      <c r="C17" s="13">
        <f>COUNTA(B10:B14)</f>
        <v>5</v>
      </c>
      <c r="D17" s="15"/>
    </row>
    <row r="18" ht="33" customHeight="1">
      <c r="A18" s="12" t="s">
        <v>105</v>
      </c>
      <c r="B18" s="13" t="str">
        <f>IF(OR(NOT(ISNUMBER(C16)),NOT(ISNUMBER(C17)),C16&lt;=0,C17&lt;=0),"Dados pendentes",IF(C17&lt;=19,IF(C16&lt;=5,"Simples","Moderado"),IF(C17&lt;=50,IF(C16=1,"Simples",IF(C16&lt;=5,"Moderado","Complexo")),IF(C16=1,"Moderado","Complexo"))))</f>
        <v>Simples</v>
      </c>
      <c r="C18" s="14"/>
      <c r="D18" s="15"/>
    </row>
    <row r="19" ht="22.5" customHeight="1">
      <c r="A19" s="12" t="s">
        <v>106</v>
      </c>
      <c r="B19" s="13">
        <f>IF(B18="Simples",5,IF(B18="Moderado",7,IF(B18="Complexo",10,"Dados pendentes")))</f>
        <v>5</v>
      </c>
      <c r="C19" s="14"/>
      <c r="D19" s="15"/>
    </row>
    <row r="20" ht="19.5" customHeight="1"/>
    <row r="21" ht="72" customHeight="1">
      <c r="A21" s="12" t="s">
        <v>107</v>
      </c>
      <c r="B21" s="13" t="s">
        <v>142</v>
      </c>
      <c r="C21" s="14"/>
      <c r="D21" s="15"/>
    </row>
    <row r="22" ht="42" customHeight="1">
      <c r="A22" s="12" t="s">
        <v>109</v>
      </c>
      <c r="B22" s="13" t="s">
        <v>143</v>
      </c>
      <c r="C22" s="14"/>
      <c r="D22" s="15"/>
    </row>
  </sheetData>
  <mergeCells count="13">
    <mergeCell ref="A1:D1"/>
    <mergeCell ref="C16:D16"/>
    <mergeCell ref="C17:D17"/>
    <mergeCell ref="B2:D2"/>
    <mergeCell ref="B3:D3"/>
    <mergeCell ref="B4:D4"/>
    <mergeCell ref="B5:D5"/>
    <mergeCell ref="B6:D6"/>
    <mergeCell ref="B7:D7"/>
    <mergeCell ref="B18:D18"/>
    <mergeCell ref="B19:D19"/>
    <mergeCell ref="B21:D21"/>
    <mergeCell ref="B22:D22"/>
  </mergeCells>
  <pageMargins left="0.699999988079071" right="0.699999988079071" top="0.75" bottom="0.75" header="0.30000001192092896" footer="0.30000001192092896"/>
  <pageSetup paperSize="8" fitToWidth="1" fitToHeight="0" orientation="landscape"/>
  <drawing r:id="rId1"/>
</worksheet>
</file>

<file path=xl/worksheets/sheet5.xml><?xml version="1.0" encoding="utf-8"?>
<worksheet xmlns="http://schemas.openxmlformats.org/spreadsheetml/2006/main" xmlns:r="http://schemas.openxmlformats.org/officeDocument/2006/relationships">
  <sheetPr>
    <pageSetUpPr fitToPage="1"/>
  </sheetPr>
  <dimension ref="A1:D22"/>
  <sheetViews>
    <sheetView showGridLines="0" workbookViewId="0">
      <selection activeCell="I21" sqref="I21"/>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144</v>
      </c>
      <c r="B1" s="8"/>
      <c r="C1" s="8"/>
      <c r="D1" s="9"/>
    </row>
    <row r="2" ht="22.5" customHeight="1">
      <c r="A2" s="12" t="s">
        <v>51</v>
      </c>
      <c r="B2" s="13" t="s">
        <v>52</v>
      </c>
      <c r="C2" s="14"/>
      <c r="D2" s="15"/>
    </row>
    <row r="3" ht="22.5" customHeight="1">
      <c r="A3" s="12" t="s">
        <v>5</v>
      </c>
      <c r="B3" s="13" t="s">
        <v>129</v>
      </c>
      <c r="C3" s="14"/>
      <c r="D3" s="15"/>
    </row>
    <row r="4" ht="33" customHeight="1">
      <c r="A4" s="12" t="s">
        <v>54</v>
      </c>
      <c r="B4" s="13" t="s">
        <v>145</v>
      </c>
      <c r="C4" s="14"/>
      <c r="D4" s="15"/>
    </row>
    <row r="5" ht="22.5" customHeight="1">
      <c r="A5" s="12" t="s">
        <v>56</v>
      </c>
      <c r="B5" s="13" t="s">
        <v>146</v>
      </c>
      <c r="C5" s="14"/>
      <c r="D5" s="15"/>
    </row>
    <row r="6" ht="22.5" customHeight="1">
      <c r="A6" s="12" t="s">
        <v>58</v>
      </c>
      <c r="B6" s="13" t="s">
        <v>147</v>
      </c>
      <c r="C6" s="14"/>
      <c r="D6" s="15"/>
    </row>
    <row r="7" ht="22.5" customHeight="1">
      <c r="A7" s="12" t="s">
        <v>133</v>
      </c>
      <c r="B7" s="13" t="s">
        <v>148</v>
      </c>
      <c r="C7" s="14"/>
      <c r="D7" s="15"/>
    </row>
    <row r="8" ht="19.5" customHeight="1"/>
    <row r="9" ht="20" customHeight="1">
      <c r="A9" s="16" t="s">
        <v>60</v>
      </c>
      <c r="B9" s="16" t="s">
        <v>61</v>
      </c>
      <c r="C9" s="16" t="s">
        <v>5</v>
      </c>
      <c r="D9" s="16" t="s">
        <v>62</v>
      </c>
    </row>
    <row r="10" ht="25.5" customHeight="1">
      <c r="A10" s="12" t="s">
        <v>149</v>
      </c>
      <c r="B10" s="12" t="s">
        <v>150</v>
      </c>
      <c r="C10" s="12" t="s">
        <v>65</v>
      </c>
      <c r="D10" s="12" t="s">
        <v>66</v>
      </c>
    </row>
    <row r="11" ht="25.5" customHeight="1">
      <c r="A11" s="12" t="s">
        <v>149</v>
      </c>
      <c r="B11" s="12" t="s">
        <v>151</v>
      </c>
      <c r="C11" s="12" t="s">
        <v>65</v>
      </c>
      <c r="D11" s="12" t="s">
        <v>152</v>
      </c>
    </row>
    <row r="12" ht="25.5" customHeight="1">
      <c r="A12" s="12" t="s">
        <v>149</v>
      </c>
      <c r="B12" s="12" t="s">
        <v>153</v>
      </c>
      <c r="C12" s="12" t="s">
        <v>121</v>
      </c>
      <c r="D12" s="12" t="s">
        <v>154</v>
      </c>
    </row>
    <row r="13" ht="25.5" customHeight="1">
      <c r="A13" s="12" t="s">
        <v>149</v>
      </c>
      <c r="B13" s="12" t="s">
        <v>155</v>
      </c>
      <c r="C13" s="12" t="s">
        <v>121</v>
      </c>
      <c r="D13" s="12" t="s">
        <v>156</v>
      </c>
    </row>
    <row r="14" ht="25.5" customHeight="1">
      <c r="A14" s="12" t="s">
        <v>149</v>
      </c>
      <c r="B14" s="12" t="s">
        <v>157</v>
      </c>
      <c r="C14" s="12" t="s">
        <v>65</v>
      </c>
      <c r="D14" s="12" t="s">
        <v>158</v>
      </c>
    </row>
    <row r="15" ht="33" customHeight="1"/>
    <row r="16" ht="38" customHeight="1">
      <c r="A16" s="12" t="s">
        <v>102</v>
      </c>
      <c r="B16" s="12" t="s">
        <v>103</v>
      </c>
      <c r="C16" s="13">
        <f>ROUND(SUMPRODUCT((A10:A14&lt;&gt;"")/COUNTIF(A10:A14,A10:A14&amp;"")),0)</f>
        <v>1</v>
      </c>
      <c r="D16" s="15"/>
    </row>
    <row r="17" ht="20" customHeight="1">
      <c r="A17" s="12" t="s">
        <v>102</v>
      </c>
      <c r="B17" s="12" t="s">
        <v>104</v>
      </c>
      <c r="C17" s="13">
        <f>COUNTA(B10:B14)</f>
        <v>5</v>
      </c>
      <c r="D17" s="15"/>
    </row>
    <row r="18" ht="33" customHeight="1">
      <c r="A18" s="12" t="s">
        <v>105</v>
      </c>
      <c r="B18" s="13" t="str">
        <f>IF(OR(NOT(ISNUMBER(C16)),NOT(ISNUMBER(C17)),C16&lt;=0,C17&lt;=0),"Dados pendentes",IF(C17&lt;=19,IF(C16&lt;=5,"Simples","Moderado"),IF(C17&lt;=50,IF(C16=1,"Simples",IF(C16&lt;=5,"Moderado","Complexo")),IF(C16=1,"Moderado","Complexo"))))</f>
        <v>Simples</v>
      </c>
      <c r="C18" s="14"/>
      <c r="D18" s="15"/>
    </row>
    <row r="19" ht="22.5" customHeight="1">
      <c r="A19" s="12" t="s">
        <v>106</v>
      </c>
      <c r="B19" s="13">
        <f>IF(B18="Simples",5,IF(B18="Moderado",7,IF(B18="Complexo",10,"Dados pendentes")))</f>
        <v>5</v>
      </c>
      <c r="C19" s="14"/>
      <c r="D19" s="15"/>
    </row>
    <row r="20" ht="19.5" customHeight="1"/>
    <row r="21" ht="72" customHeight="1">
      <c r="A21" s="12" t="s">
        <v>107</v>
      </c>
      <c r="B21" s="13" t="s">
        <v>159</v>
      </c>
      <c r="C21" s="14"/>
      <c r="D21" s="15"/>
    </row>
    <row r="22" ht="57" customHeight="1">
      <c r="A22" s="12" t="s">
        <v>109</v>
      </c>
      <c r="B22" s="13" t="s">
        <v>160</v>
      </c>
      <c r="C22" s="14"/>
      <c r="D22" s="15"/>
    </row>
  </sheetData>
  <mergeCells count="13">
    <mergeCell ref="A1:D1"/>
    <mergeCell ref="C16:D16"/>
    <mergeCell ref="C17:D17"/>
    <mergeCell ref="B2:D2"/>
    <mergeCell ref="B3:D3"/>
    <mergeCell ref="B4:D4"/>
    <mergeCell ref="B5:D5"/>
    <mergeCell ref="B6:D6"/>
    <mergeCell ref="B7:D7"/>
    <mergeCell ref="B18:D18"/>
    <mergeCell ref="B19:D19"/>
    <mergeCell ref="B21:D21"/>
    <mergeCell ref="B22:D22"/>
  </mergeCells>
  <pageMargins left="0.699999988079071" right="0.699999988079071" top="0.75" bottom="0.75" header="0.30000001192092896" footer="0.30000001192092896"/>
  <pageSetup paperSize="8" fitToWidth="1" fitToHeight="0" orientation="landscape"/>
  <drawing r:id="rId1"/>
</worksheet>
</file>

<file path=xl/worksheets/sheet6.xml><?xml version="1.0" encoding="utf-8"?>
<worksheet xmlns="http://schemas.openxmlformats.org/spreadsheetml/2006/main" xmlns:r="http://schemas.openxmlformats.org/officeDocument/2006/relationships">
  <sheetPr>
    <pageSetUpPr fitToPage="1"/>
  </sheetPr>
  <dimension ref="A1:D135"/>
  <sheetViews>
    <sheetView showGridLines="0" topLeftCell="A28" workbookViewId="0">
      <selection activeCell="A1" sqref="A1"/>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161</v>
      </c>
      <c r="B1" s="8"/>
      <c r="C1" s="8"/>
      <c r="D1" s="9"/>
    </row>
    <row r="2" ht="57" customHeight="1">
      <c r="A2" s="12" t="s">
        <v>162</v>
      </c>
      <c r="B2" s="13" t="s">
        <v>163</v>
      </c>
      <c r="C2" s="14"/>
      <c r="D2" s="15"/>
    </row>
    <row r="3" ht="72" customHeight="1">
      <c r="A3" s="12" t="s">
        <v>107</v>
      </c>
      <c r="B3" s="13" t="s">
        <v>164</v>
      </c>
      <c r="C3" s="14"/>
      <c r="D3" s="15"/>
    </row>
    <row r="4" ht="69" customHeight="1">
      <c r="A4" s="12" t="s">
        <v>165</v>
      </c>
      <c r="B4" s="13" t="s">
        <v>166</v>
      </c>
      <c r="C4" s="14"/>
      <c r="D4" s="15"/>
    </row>
    <row r="5" ht="33" customHeight="1">
      <c r="A5" s="12" t="s">
        <v>167</v>
      </c>
      <c r="B5" s="13" t="s">
        <v>168</v>
      </c>
      <c r="C5" s="14"/>
      <c r="D5" s="15"/>
    </row>
    <row r="6" ht="69" customHeight="1">
      <c r="A6" s="12" t="s">
        <v>169</v>
      </c>
      <c r="B6" s="13" t="s">
        <v>170</v>
      </c>
      <c r="C6" s="14"/>
      <c r="D6" s="15"/>
    </row>
    <row r="7" ht="22.5" customHeight="1">
      <c r="A7" s="12" t="s">
        <v>171</v>
      </c>
      <c r="B7" s="13" t="s">
        <v>172</v>
      </c>
      <c r="C7" s="14"/>
      <c r="D7" s="15"/>
    </row>
    <row r="8" ht="19.5" customHeight="1"/>
    <row r="9" ht="20" customHeight="1">
      <c r="A9" s="16" t="s">
        <v>173</v>
      </c>
      <c r="B9" s="16" t="s">
        <v>174</v>
      </c>
      <c r="C9" s="16" t="s">
        <v>175</v>
      </c>
      <c r="D9" s="16" t="s">
        <v>176</v>
      </c>
    </row>
    <row r="10" ht="25.5" customHeight="1">
      <c r="A10" s="12" t="s">
        <v>7</v>
      </c>
      <c r="B10" s="12" t="s">
        <v>64</v>
      </c>
      <c r="C10" s="12" t="s">
        <v>177</v>
      </c>
      <c r="D10" s="12">
        <v>1</v>
      </c>
    </row>
    <row r="11" ht="25.5" customHeight="1">
      <c r="A11" s="12" t="s">
        <v>7</v>
      </c>
      <c r="B11" s="12" t="s">
        <v>67</v>
      </c>
      <c r="C11" s="12" t="s">
        <v>177</v>
      </c>
      <c r="D11" s="12">
        <v>1</v>
      </c>
    </row>
    <row r="12" ht="25.5" customHeight="1">
      <c r="A12" s="12" t="s">
        <v>178</v>
      </c>
      <c r="B12" s="12" t="s">
        <v>94</v>
      </c>
      <c r="C12" s="12" t="s">
        <v>177</v>
      </c>
      <c r="D12" s="12">
        <v>1</v>
      </c>
    </row>
    <row r="13" ht="25.5" customHeight="1">
      <c r="A13" s="12" t="s">
        <v>7</v>
      </c>
      <c r="B13" s="12" t="s">
        <v>69</v>
      </c>
      <c r="C13" s="12" t="s">
        <v>177</v>
      </c>
      <c r="D13" s="12">
        <v>1</v>
      </c>
    </row>
    <row r="14" ht="25.5" customHeight="1">
      <c r="A14" s="12" t="s">
        <v>7</v>
      </c>
      <c r="B14" s="12" t="s">
        <v>71</v>
      </c>
      <c r="C14" s="12" t="s">
        <v>177</v>
      </c>
      <c r="D14" s="12">
        <v>1</v>
      </c>
    </row>
    <row r="15" ht="72" customHeight="1">
      <c r="A15" s="12" t="s">
        <v>7</v>
      </c>
      <c r="B15" s="12" t="s">
        <v>73</v>
      </c>
      <c r="C15" s="12" t="s">
        <v>177</v>
      </c>
      <c r="D15" s="12">
        <v>1</v>
      </c>
    </row>
    <row r="16" ht="25.5" customHeight="1">
      <c r="A16" s="12" t="s">
        <v>7</v>
      </c>
      <c r="B16" s="12" t="s">
        <v>75</v>
      </c>
      <c r="C16" s="12" t="s">
        <v>177</v>
      </c>
      <c r="D16" s="12">
        <v>1</v>
      </c>
    </row>
    <row r="17" ht="25.5" customHeight="1">
      <c r="A17" s="12" t="s">
        <v>7</v>
      </c>
      <c r="B17" s="12" t="s">
        <v>77</v>
      </c>
      <c r="C17" s="12" t="s">
        <v>177</v>
      </c>
      <c r="D17" s="12">
        <v>1</v>
      </c>
    </row>
    <row r="18" ht="25.5" customHeight="1">
      <c r="A18" s="12" t="s">
        <v>7</v>
      </c>
      <c r="B18" s="12" t="s">
        <v>79</v>
      </c>
      <c r="C18" s="12" t="s">
        <v>177</v>
      </c>
      <c r="D18" s="12">
        <v>1</v>
      </c>
    </row>
    <row r="19" ht="25.5" customHeight="1">
      <c r="A19" s="12" t="s">
        <v>7</v>
      </c>
      <c r="B19" s="12" t="s">
        <v>81</v>
      </c>
      <c r="C19" s="12" t="s">
        <v>177</v>
      </c>
      <c r="D19" s="12">
        <v>1</v>
      </c>
    </row>
    <row r="20" ht="25.5" customHeight="1">
      <c r="A20" s="12" t="s">
        <v>178</v>
      </c>
      <c r="B20" s="12" t="s">
        <v>83</v>
      </c>
      <c r="C20" s="12" t="s">
        <v>177</v>
      </c>
      <c r="D20" s="12">
        <v>1</v>
      </c>
    </row>
    <row r="21" ht="25.5" customHeight="1">
      <c r="A21" s="12" t="s">
        <v>7</v>
      </c>
      <c r="B21" s="12" t="s">
        <v>86</v>
      </c>
      <c r="C21" s="12" t="s">
        <v>177</v>
      </c>
      <c r="D21" s="12">
        <v>1</v>
      </c>
    </row>
    <row r="22" ht="25.5" customHeight="1">
      <c r="A22" s="12" t="s">
        <v>7</v>
      </c>
      <c r="B22" s="12" t="s">
        <v>90</v>
      </c>
      <c r="C22" s="12" t="s">
        <v>177</v>
      </c>
      <c r="D22" s="12">
        <v>1</v>
      </c>
    </row>
    <row r="23" ht="25.5" customHeight="1">
      <c r="A23" s="12" t="s">
        <v>7</v>
      </c>
      <c r="B23" s="12" t="s">
        <v>92</v>
      </c>
      <c r="C23" s="12" t="s">
        <v>177</v>
      </c>
      <c r="D23" s="12">
        <v>1</v>
      </c>
    </row>
    <row r="24" ht="25.5" customHeight="1">
      <c r="A24" s="12" t="s">
        <v>7</v>
      </c>
      <c r="B24" s="12" t="s">
        <v>96</v>
      </c>
      <c r="C24" s="12" t="s">
        <v>177</v>
      </c>
      <c r="D24" s="12">
        <v>1</v>
      </c>
    </row>
    <row r="25" ht="25.5" customHeight="1">
      <c r="A25" s="12" t="s">
        <v>7</v>
      </c>
      <c r="B25" s="12" t="s">
        <v>98</v>
      </c>
      <c r="C25" s="12" t="s">
        <v>177</v>
      </c>
      <c r="D25" s="12">
        <v>1</v>
      </c>
    </row>
    <row r="26" ht="25.5" customHeight="1">
      <c r="A26" s="12" t="s">
        <v>7</v>
      </c>
      <c r="B26" s="12" t="s">
        <v>100</v>
      </c>
      <c r="C26" s="12" t="s">
        <v>177</v>
      </c>
      <c r="D26" s="12">
        <v>1</v>
      </c>
    </row>
    <row r="27" ht="38" customHeight="1">
      <c r="A27" s="12" t="s">
        <v>179</v>
      </c>
      <c r="B27" s="12" t="s">
        <v>180</v>
      </c>
      <c r="C27" s="12" t="s">
        <v>181</v>
      </c>
      <c r="D27" s="12">
        <v>1</v>
      </c>
    </row>
    <row r="28" ht="33" customHeight="1">
      <c r="A28" s="12" t="s">
        <v>179</v>
      </c>
      <c r="B28" s="12" t="s">
        <v>182</v>
      </c>
      <c r="C28" s="12" t="s">
        <v>183</v>
      </c>
      <c r="D28" s="12">
        <v>1</v>
      </c>
    </row>
    <row r="29" ht="33" customHeight="1">
      <c r="A29" s="12" t="s">
        <v>179</v>
      </c>
      <c r="B29" s="12" t="s">
        <v>184</v>
      </c>
      <c r="C29" s="12" t="s">
        <v>183</v>
      </c>
      <c r="D29" s="12">
        <v>1</v>
      </c>
    </row>
    <row r="30" ht="19.5" customHeight="1"/>
    <row r="31" ht="33" customHeight="1">
      <c r="A31" s="16" t="s">
        <v>171</v>
      </c>
      <c r="B31" s="16" t="s">
        <v>185</v>
      </c>
      <c r="C31" s="16" t="s">
        <v>186</v>
      </c>
    </row>
    <row r="32" ht="33" customHeight="1">
      <c r="A32" s="12" t="s">
        <v>7</v>
      </c>
      <c r="B32" s="12" t="s">
        <v>8</v>
      </c>
      <c r="C32" s="13" t="s">
        <v>187</v>
      </c>
      <c r="D32" s="15"/>
    </row>
    <row r="33" ht="33" customHeight="1">
      <c r="A33" s="12" t="s">
        <v>188</v>
      </c>
      <c r="B33" s="12" t="s">
        <v>189</v>
      </c>
      <c r="C33" s="13" t="s">
        <v>187</v>
      </c>
      <c r="D33" s="15"/>
    </row>
    <row r="34" ht="33" customHeight="1">
      <c r="A34" s="12" t="s">
        <v>12</v>
      </c>
      <c r="B34" s="12" t="s">
        <v>13</v>
      </c>
      <c r="C34" s="13" t="s">
        <v>187</v>
      </c>
      <c r="D34" s="15"/>
    </row>
    <row r="35" ht="19.5" customHeight="1"/>
    <row r="36" ht="20" customHeight="1">
      <c r="A36" s="12" t="s">
        <v>102</v>
      </c>
      <c r="B36" s="12" t="s">
        <v>171</v>
      </c>
      <c r="C36" s="13">
        <f>COUNTA(A32:A34)</f>
        <v>3</v>
      </c>
      <c r="D36" s="15"/>
    </row>
    <row r="37" ht="20" customHeight="1">
      <c r="A37" s="12" t="s">
        <v>102</v>
      </c>
      <c r="B37" s="12" t="s">
        <v>104</v>
      </c>
      <c r="C37" s="13">
        <f>IF(COUNT(D10:D29)&lt;&gt;ROWS(D10:D29),"Dados pendentes",IF(COUNTIF(D10:D29,0)+COUNTIF(D10:D29,1)&lt;&gt;ROWS(D10:D29),"Revisar DER",SUM(D10:D29)))</f>
        <v>20</v>
      </c>
      <c r="D37" s="15"/>
    </row>
    <row r="38" ht="33" customHeight="1">
      <c r="A38" s="12" t="s">
        <v>105</v>
      </c>
      <c r="B38" s="13" t="str">
        <f>IF(OR(NOT(ISNUMBER(C36)),NOT(ISNUMBER(C37)),C36&lt;=0,C37&lt;=0),"Dados pendentes",IF(C37&lt;=4,IF(C36&lt;=2,"Simples","Moderado"),IF(C37&lt;=15,IF(C36&lt;=1,"Simples",IF(C36=2,"Moderado","Complexo")),IF(C36&lt;=1,"Moderado","Complexo"))))</f>
        <v>Complexo</v>
      </c>
      <c r="C38" s="14"/>
      <c r="D38" s="15"/>
    </row>
    <row r="39" ht="22.5" customHeight="1">
      <c r="A39" s="12" t="s">
        <v>106</v>
      </c>
      <c r="B39" s="13">
        <f>IF(B38="Simples",3,IF(B38="Moderado",4,IF(B38="Complexo",6,"Dados pendentes")))</f>
        <v>6</v>
      </c>
      <c r="C39" s="14"/>
      <c r="D39" s="15"/>
    </row>
    <row r="40" ht="19.5" customHeight="1"/>
    <row r="41" ht="19.5" customHeight="1"/>
    <row r="42" ht="22.5" customHeight="1">
      <c r="A42" s="7" t="s">
        <v>190</v>
      </c>
      <c r="B42" s="8"/>
      <c r="C42" s="8"/>
      <c r="D42" s="9"/>
    </row>
    <row r="43" ht="57" customHeight="1">
      <c r="A43" s="12" t="s">
        <v>162</v>
      </c>
      <c r="B43" s="13" t="s">
        <v>191</v>
      </c>
      <c r="C43" s="14"/>
      <c r="D43" s="15"/>
    </row>
    <row r="44" ht="72" customHeight="1">
      <c r="A44" s="12" t="s">
        <v>107</v>
      </c>
      <c r="B44" s="13" t="s">
        <v>164</v>
      </c>
      <c r="C44" s="14"/>
      <c r="D44" s="15"/>
    </row>
    <row r="45" ht="69" customHeight="1">
      <c r="A45" s="12" t="s">
        <v>165</v>
      </c>
      <c r="B45" s="13" t="s">
        <v>166</v>
      </c>
      <c r="C45" s="14"/>
      <c r="D45" s="15"/>
    </row>
    <row r="46" ht="45" customHeight="1">
      <c r="A46" s="12" t="s">
        <v>167</v>
      </c>
      <c r="B46" s="13" t="s">
        <v>192</v>
      </c>
      <c r="C46" s="14"/>
      <c r="D46" s="15"/>
    </row>
    <row r="47" ht="69" customHeight="1">
      <c r="A47" s="12" t="s">
        <v>169</v>
      </c>
      <c r="B47" s="13" t="s">
        <v>170</v>
      </c>
      <c r="C47" s="14"/>
      <c r="D47" s="15"/>
    </row>
    <row r="48" ht="22.5" customHeight="1">
      <c r="A48" s="12" t="s">
        <v>171</v>
      </c>
      <c r="B48" s="13" t="s">
        <v>172</v>
      </c>
      <c r="C48" s="14"/>
      <c r="D48" s="15"/>
    </row>
    <row r="49" ht="19.5" customHeight="1"/>
    <row r="50" ht="20" customHeight="1">
      <c r="A50" s="16" t="s">
        <v>173</v>
      </c>
      <c r="B50" s="16" t="s">
        <v>174</v>
      </c>
      <c r="C50" s="16" t="s">
        <v>175</v>
      </c>
      <c r="D50" s="16" t="s">
        <v>176</v>
      </c>
    </row>
    <row r="51" ht="25.5" customHeight="1">
      <c r="A51" s="12" t="s">
        <v>193</v>
      </c>
      <c r="B51" s="12" t="s">
        <v>194</v>
      </c>
      <c r="C51" s="12" t="s">
        <v>177</v>
      </c>
      <c r="D51" s="12">
        <v>1</v>
      </c>
    </row>
    <row r="52" ht="25.5" customHeight="1">
      <c r="A52" s="12" t="s">
        <v>7</v>
      </c>
      <c r="B52" s="12" t="s">
        <v>64</v>
      </c>
      <c r="C52" s="12" t="s">
        <v>177</v>
      </c>
      <c r="D52" s="12">
        <v>1</v>
      </c>
    </row>
    <row r="53" ht="25.5" customHeight="1">
      <c r="A53" s="12" t="s">
        <v>7</v>
      </c>
      <c r="B53" s="12" t="s">
        <v>67</v>
      </c>
      <c r="C53" s="12" t="s">
        <v>177</v>
      </c>
      <c r="D53" s="12">
        <v>1</v>
      </c>
    </row>
    <row r="54" ht="25.5" customHeight="1">
      <c r="A54" s="12" t="s">
        <v>178</v>
      </c>
      <c r="B54" s="12" t="s">
        <v>94</v>
      </c>
      <c r="C54" s="12" t="s">
        <v>177</v>
      </c>
      <c r="D54" s="12">
        <v>1</v>
      </c>
    </row>
    <row r="55" ht="72" customHeight="1">
      <c r="A55" s="12" t="s">
        <v>7</v>
      </c>
      <c r="B55" s="12" t="s">
        <v>69</v>
      </c>
      <c r="C55" s="12" t="s">
        <v>177</v>
      </c>
      <c r="D55" s="12">
        <v>1</v>
      </c>
    </row>
    <row r="56" ht="25.5" customHeight="1">
      <c r="A56" s="12" t="s">
        <v>7</v>
      </c>
      <c r="B56" s="12" t="s">
        <v>71</v>
      </c>
      <c r="C56" s="12" t="s">
        <v>177</v>
      </c>
      <c r="D56" s="12">
        <v>1</v>
      </c>
    </row>
    <row r="57" ht="25.5" customHeight="1">
      <c r="A57" s="12" t="s">
        <v>7</v>
      </c>
      <c r="B57" s="12" t="s">
        <v>73</v>
      </c>
      <c r="C57" s="12" t="s">
        <v>177</v>
      </c>
      <c r="D57" s="12">
        <v>1</v>
      </c>
    </row>
    <row r="58" ht="25.5" customHeight="1">
      <c r="A58" s="12" t="s">
        <v>7</v>
      </c>
      <c r="B58" s="12" t="s">
        <v>75</v>
      </c>
      <c r="C58" s="12" t="s">
        <v>177</v>
      </c>
      <c r="D58" s="12">
        <v>1</v>
      </c>
    </row>
    <row r="59" ht="25.5" customHeight="1">
      <c r="A59" s="12" t="s">
        <v>7</v>
      </c>
      <c r="B59" s="12" t="s">
        <v>77</v>
      </c>
      <c r="C59" s="12" t="s">
        <v>177</v>
      </c>
      <c r="D59" s="12">
        <v>1</v>
      </c>
    </row>
    <row r="60" ht="25.5" customHeight="1">
      <c r="A60" s="12" t="s">
        <v>7</v>
      </c>
      <c r="B60" s="12" t="s">
        <v>79</v>
      </c>
      <c r="C60" s="12" t="s">
        <v>177</v>
      </c>
      <c r="D60" s="12">
        <v>1</v>
      </c>
    </row>
    <row r="61" ht="25.5" customHeight="1">
      <c r="A61" s="12" t="s">
        <v>7</v>
      </c>
      <c r="B61" s="12" t="s">
        <v>81</v>
      </c>
      <c r="C61" s="12" t="s">
        <v>177</v>
      </c>
      <c r="D61" s="12">
        <v>1</v>
      </c>
    </row>
    <row r="62" ht="25.5" customHeight="1">
      <c r="A62" s="12" t="s">
        <v>178</v>
      </c>
      <c r="B62" s="12" t="s">
        <v>83</v>
      </c>
      <c r="C62" s="12" t="s">
        <v>177</v>
      </c>
      <c r="D62" s="12">
        <v>1</v>
      </c>
    </row>
    <row r="63" ht="25.5" customHeight="1">
      <c r="A63" s="12" t="s">
        <v>7</v>
      </c>
      <c r="B63" s="12" t="s">
        <v>86</v>
      </c>
      <c r="C63" s="12" t="s">
        <v>177</v>
      </c>
      <c r="D63" s="12">
        <v>1</v>
      </c>
    </row>
    <row r="64" ht="25.5" customHeight="1">
      <c r="A64" s="12" t="s">
        <v>7</v>
      </c>
      <c r="B64" s="12" t="s">
        <v>90</v>
      </c>
      <c r="C64" s="12" t="s">
        <v>177</v>
      </c>
      <c r="D64" s="12">
        <v>1</v>
      </c>
    </row>
    <row r="65" ht="25.5" customHeight="1">
      <c r="A65" s="12" t="s">
        <v>7</v>
      </c>
      <c r="B65" s="12" t="s">
        <v>92</v>
      </c>
      <c r="C65" s="12" t="s">
        <v>177</v>
      </c>
      <c r="D65" s="12">
        <v>1</v>
      </c>
    </row>
    <row r="66" ht="25.5" customHeight="1">
      <c r="A66" s="12" t="s">
        <v>7</v>
      </c>
      <c r="B66" s="12" t="s">
        <v>96</v>
      </c>
      <c r="C66" s="12" t="s">
        <v>177</v>
      </c>
      <c r="D66" s="12">
        <v>1</v>
      </c>
    </row>
    <row r="67" ht="25.5" customHeight="1">
      <c r="A67" s="12" t="s">
        <v>7</v>
      </c>
      <c r="B67" s="12" t="s">
        <v>98</v>
      </c>
      <c r="C67" s="12" t="s">
        <v>177</v>
      </c>
      <c r="D67" s="12">
        <v>1</v>
      </c>
    </row>
    <row r="68" ht="38" customHeight="1">
      <c r="A68" s="12" t="s">
        <v>7</v>
      </c>
      <c r="B68" s="12" t="s">
        <v>100</v>
      </c>
      <c r="C68" s="12" t="s">
        <v>177</v>
      </c>
      <c r="D68" s="12">
        <v>1</v>
      </c>
    </row>
    <row r="69" ht="33" customHeight="1">
      <c r="A69" s="12" t="s">
        <v>179</v>
      </c>
      <c r="B69" s="12" t="s">
        <v>195</v>
      </c>
      <c r="C69" s="12" t="s">
        <v>181</v>
      </c>
      <c r="D69" s="12">
        <v>1</v>
      </c>
    </row>
    <row r="70" ht="33" customHeight="1">
      <c r="A70" s="12" t="s">
        <v>179</v>
      </c>
      <c r="B70" s="12" t="s">
        <v>196</v>
      </c>
      <c r="C70" s="12" t="s">
        <v>183</v>
      </c>
      <c r="D70" s="12">
        <v>1</v>
      </c>
    </row>
    <row r="71" ht="33" customHeight="1">
      <c r="A71" s="12" t="s">
        <v>179</v>
      </c>
      <c r="B71" s="12" t="s">
        <v>184</v>
      </c>
      <c r="C71" s="12" t="s">
        <v>183</v>
      </c>
      <c r="D71" s="12">
        <v>1</v>
      </c>
    </row>
    <row r="72" ht="19.5" customHeight="1"/>
    <row r="73" ht="33" customHeight="1">
      <c r="A73" s="16" t="s">
        <v>171</v>
      </c>
      <c r="B73" s="16" t="s">
        <v>185</v>
      </c>
      <c r="C73" s="16" t="s">
        <v>186</v>
      </c>
    </row>
    <row r="74" ht="33" customHeight="1">
      <c r="A74" s="12" t="s">
        <v>7</v>
      </c>
      <c r="B74" s="12" t="s">
        <v>8</v>
      </c>
      <c r="C74" s="13" t="s">
        <v>187</v>
      </c>
      <c r="D74" s="15"/>
    </row>
    <row r="75" ht="33" customHeight="1">
      <c r="A75" s="12" t="s">
        <v>188</v>
      </c>
      <c r="B75" s="12" t="s">
        <v>189</v>
      </c>
      <c r="C75" s="13" t="s">
        <v>187</v>
      </c>
      <c r="D75" s="15"/>
    </row>
    <row r="76" ht="33" customHeight="1">
      <c r="A76" s="12" t="s">
        <v>12</v>
      </c>
      <c r="B76" s="12" t="s">
        <v>13</v>
      </c>
      <c r="C76" s="13" t="s">
        <v>187</v>
      </c>
      <c r="D76" s="15"/>
    </row>
    <row r="77" ht="19.5" customHeight="1"/>
    <row r="78" ht="20" customHeight="1">
      <c r="A78" s="12" t="s">
        <v>102</v>
      </c>
      <c r="B78" s="12" t="s">
        <v>171</v>
      </c>
      <c r="C78" s="13">
        <f>COUNTA(A74:A76)</f>
        <v>3</v>
      </c>
      <c r="D78" s="15"/>
    </row>
    <row r="79" ht="20" customHeight="1">
      <c r="A79" s="12" t="s">
        <v>102</v>
      </c>
      <c r="B79" s="12" t="s">
        <v>104</v>
      </c>
      <c r="C79" s="13">
        <f>IF(COUNT(D51:D71)&lt;&gt;ROWS(D51:D71),"Dados pendentes",IF(COUNTIF(D51:D71,0)+COUNTIF(D51:D71,1)&lt;&gt;ROWS(D51:D71),"Revisar DER",SUM(D51:D71)))</f>
        <v>21</v>
      </c>
      <c r="D79" s="15"/>
    </row>
    <row r="80" ht="33" customHeight="1">
      <c r="A80" s="12" t="s">
        <v>105</v>
      </c>
      <c r="B80" s="13" t="str">
        <f>IF(OR(NOT(ISNUMBER(C78)),NOT(ISNUMBER(C79)),C78&lt;=0,C79&lt;=0),"Dados pendentes",IF(C79&lt;=4,IF(C78&lt;=2,"Simples","Moderado"),IF(C79&lt;=15,IF(C78&lt;=1,"Simples",IF(C78=2,"Moderado","Complexo")),IF(C78&lt;=1,"Moderado","Complexo"))))</f>
        <v>Complexo</v>
      </c>
      <c r="C80" s="14"/>
      <c r="D80" s="15"/>
    </row>
    <row r="81" ht="22.5" customHeight="1">
      <c r="A81" s="12" t="s">
        <v>106</v>
      </c>
      <c r="B81" s="13">
        <f>IF(B80="Simples",3,IF(B80="Moderado",4,IF(B80="Complexo",6,"Dados pendentes")))</f>
        <v>6</v>
      </c>
      <c r="C81" s="14"/>
      <c r="D81" s="15"/>
    </row>
    <row r="82" ht="19.5" customHeight="1"/>
    <row r="83" ht="19.5" customHeight="1"/>
    <row r="84" ht="22.5" customHeight="1">
      <c r="A84" s="7" t="s">
        <v>197</v>
      </c>
      <c r="B84" s="8"/>
      <c r="C84" s="8"/>
      <c r="D84" s="9"/>
    </row>
    <row r="85" ht="33" customHeight="1">
      <c r="A85" s="12" t="s">
        <v>162</v>
      </c>
      <c r="B85" s="13" t="s">
        <v>198</v>
      </c>
      <c r="C85" s="14"/>
      <c r="D85" s="15"/>
    </row>
    <row r="86" ht="72" customHeight="1">
      <c r="A86" s="12" t="s">
        <v>107</v>
      </c>
      <c r="B86" s="13" t="s">
        <v>199</v>
      </c>
      <c r="C86" s="14"/>
      <c r="D86" s="15"/>
    </row>
    <row r="87" ht="81" customHeight="1">
      <c r="A87" s="12" t="s">
        <v>165</v>
      </c>
      <c r="B87" s="13" t="s">
        <v>200</v>
      </c>
      <c r="C87" s="14"/>
      <c r="D87" s="15"/>
    </row>
    <row r="88" ht="45" customHeight="1">
      <c r="A88" s="12" t="s">
        <v>167</v>
      </c>
      <c r="B88" s="13" t="s">
        <v>201</v>
      </c>
      <c r="C88" s="14"/>
      <c r="D88" s="15"/>
    </row>
    <row r="89" ht="22.5" customHeight="1">
      <c r="A89" s="12" t="s">
        <v>171</v>
      </c>
      <c r="B89" s="13" t="s">
        <v>202</v>
      </c>
      <c r="C89" s="14"/>
      <c r="D89" s="15"/>
    </row>
    <row r="90" ht="19.5" customHeight="1"/>
    <row r="91" ht="20" customHeight="1">
      <c r="A91" s="16" t="s">
        <v>173</v>
      </c>
      <c r="B91" s="16" t="s">
        <v>174</v>
      </c>
      <c r="C91" s="16" t="s">
        <v>175</v>
      </c>
      <c r="D91" s="16" t="s">
        <v>176</v>
      </c>
    </row>
    <row r="92" ht="33" customHeight="1">
      <c r="A92" s="12" t="s">
        <v>203</v>
      </c>
      <c r="B92" s="12" t="s">
        <v>194</v>
      </c>
      <c r="C92" s="12" t="s">
        <v>177</v>
      </c>
      <c r="D92" s="12">
        <v>1</v>
      </c>
    </row>
    <row r="93" ht="33" customHeight="1">
      <c r="A93" s="12" t="s">
        <v>179</v>
      </c>
      <c r="B93" s="12" t="s">
        <v>204</v>
      </c>
      <c r="C93" s="12" t="s">
        <v>181</v>
      </c>
      <c r="D93" s="12">
        <v>1</v>
      </c>
    </row>
    <row r="94" ht="38" customHeight="1">
      <c r="A94" s="12" t="s">
        <v>179</v>
      </c>
      <c r="B94" s="12" t="s">
        <v>205</v>
      </c>
      <c r="C94" s="12" t="s">
        <v>183</v>
      </c>
      <c r="D94" s="12">
        <v>1</v>
      </c>
    </row>
    <row r="95" ht="33" customHeight="1">
      <c r="A95" s="12" t="s">
        <v>179</v>
      </c>
      <c r="B95" s="12" t="s">
        <v>206</v>
      </c>
      <c r="C95" s="12" t="s">
        <v>183</v>
      </c>
      <c r="D95" s="12">
        <v>1</v>
      </c>
    </row>
    <row r="96" ht="19.5" customHeight="1"/>
    <row r="97" ht="33" customHeight="1">
      <c r="A97" s="16" t="s">
        <v>171</v>
      </c>
      <c r="B97" s="16" t="s">
        <v>185</v>
      </c>
      <c r="C97" s="16" t="s">
        <v>186</v>
      </c>
    </row>
    <row r="98" ht="72" customHeight="1">
      <c r="A98" s="12" t="s">
        <v>7</v>
      </c>
      <c r="B98" s="12" t="s">
        <v>8</v>
      </c>
      <c r="C98" s="13" t="s">
        <v>187</v>
      </c>
      <c r="D98" s="15"/>
    </row>
    <row r="99" ht="33" customHeight="1">
      <c r="A99" s="12" t="s">
        <v>10</v>
      </c>
      <c r="B99" s="12" t="s">
        <v>11</v>
      </c>
      <c r="C99" s="13" t="s">
        <v>187</v>
      </c>
      <c r="D99" s="15"/>
    </row>
    <row r="100" ht="33" customHeight="1">
      <c r="A100" s="12" t="s">
        <v>207</v>
      </c>
      <c r="B100" s="12" t="s">
        <v>208</v>
      </c>
      <c r="C100" s="13" t="s">
        <v>187</v>
      </c>
      <c r="D100" s="15"/>
    </row>
    <row r="101" ht="33" customHeight="1">
      <c r="A101" s="12" t="s">
        <v>209</v>
      </c>
      <c r="B101" s="12" t="s">
        <v>210</v>
      </c>
      <c r="C101" s="13" t="s">
        <v>187</v>
      </c>
      <c r="D101" s="15"/>
    </row>
    <row r="102" ht="19.5" customHeight="1"/>
    <row r="103" ht="20" customHeight="1">
      <c r="A103" s="12" t="s">
        <v>102</v>
      </c>
      <c r="B103" s="12" t="s">
        <v>171</v>
      </c>
      <c r="C103" s="13">
        <f>COUNTA(A98:A101)</f>
        <v>4</v>
      </c>
      <c r="D103" s="15"/>
    </row>
    <row r="104" ht="20" customHeight="1">
      <c r="A104" s="12" t="s">
        <v>102</v>
      </c>
      <c r="B104" s="12" t="s">
        <v>104</v>
      </c>
      <c r="C104" s="13">
        <f>IF(COUNT(D92:D95)&lt;&gt;ROWS(D92:D95),"Dados pendentes",IF(COUNTIF(D92:D95,0)+COUNTIF(D92:D95,1)&lt;&gt;ROWS(D92:D95),"Revisar DER",SUM(D92:D95)))</f>
        <v>4</v>
      </c>
      <c r="D104" s="15"/>
    </row>
    <row r="105" ht="33" customHeight="1">
      <c r="A105" s="12" t="s">
        <v>105</v>
      </c>
      <c r="B105" s="13" t="str">
        <f>IF(OR(NOT(ISNUMBER(C103)),NOT(ISNUMBER(C104)),C103&lt;=0,C104&lt;=0),"Dados pendentes",IF(C104&lt;=4,IF(C103&lt;=2,"Simples","Moderado"),IF(C104&lt;=15,IF(C103&lt;=1,"Simples",IF(C103=2,"Moderado","Complexo")),IF(C103&lt;=1,"Moderado","Complexo"))))</f>
        <v>Moderado</v>
      </c>
      <c r="C105" s="14"/>
      <c r="D105" s="15"/>
    </row>
    <row r="106" ht="22.5" customHeight="1">
      <c r="A106" s="12" t="s">
        <v>106</v>
      </c>
      <c r="B106" s="13">
        <f>IF(B105="Simples",3,IF(B105="Moderado",4,IF(B105="Complexo",6,"Dados pendentes")))</f>
        <v>4</v>
      </c>
      <c r="C106" s="14"/>
      <c r="D106" s="15"/>
    </row>
    <row r="107" ht="19.5" customHeight="1"/>
    <row r="108" ht="19.5" customHeight="1"/>
    <row r="109" ht="22.5" customHeight="1">
      <c r="A109" s="7" t="s">
        <v>211</v>
      </c>
      <c r="B109" s="8"/>
      <c r="C109" s="8"/>
      <c r="D109" s="9"/>
    </row>
    <row r="110" ht="57" customHeight="1">
      <c r="A110" s="12" t="s">
        <v>162</v>
      </c>
      <c r="B110" s="13" t="s">
        <v>212</v>
      </c>
      <c r="C110" s="14"/>
      <c r="D110" s="15"/>
    </row>
    <row r="111" ht="72" customHeight="1">
      <c r="A111" s="12" t="s">
        <v>107</v>
      </c>
      <c r="B111" s="13" t="s">
        <v>213</v>
      </c>
      <c r="C111" s="14"/>
      <c r="D111" s="15"/>
    </row>
    <row r="112" ht="81" customHeight="1">
      <c r="A112" s="12" t="s">
        <v>165</v>
      </c>
      <c r="B112" s="13" t="s">
        <v>214</v>
      </c>
      <c r="C112" s="14"/>
      <c r="D112" s="15"/>
    </row>
    <row r="113" ht="57" customHeight="1">
      <c r="A113" s="12" t="s">
        <v>167</v>
      </c>
      <c r="B113" s="13" t="s">
        <v>215</v>
      </c>
      <c r="C113" s="14"/>
      <c r="D113" s="15"/>
    </row>
    <row r="114" ht="33" customHeight="1">
      <c r="A114" s="12" t="s">
        <v>171</v>
      </c>
      <c r="B114" s="13" t="s">
        <v>216</v>
      </c>
      <c r="C114" s="14"/>
      <c r="D114" s="15"/>
    </row>
    <row r="115" ht="19.5" customHeight="1"/>
    <row r="116" ht="20" customHeight="1">
      <c r="A116" s="16" t="s">
        <v>173</v>
      </c>
      <c r="B116" s="16" t="s">
        <v>174</v>
      </c>
      <c r="C116" s="16" t="s">
        <v>175</v>
      </c>
      <c r="D116" s="16" t="s">
        <v>176</v>
      </c>
    </row>
    <row r="117" ht="25.5" customHeight="1">
      <c r="A117" s="12" t="s">
        <v>217</v>
      </c>
      <c r="B117" s="12" t="s">
        <v>116</v>
      </c>
      <c r="C117" s="12" t="s">
        <v>177</v>
      </c>
      <c r="D117" s="12">
        <v>1</v>
      </c>
    </row>
    <row r="118" ht="25.5" customHeight="1">
      <c r="A118" s="12" t="s">
        <v>207</v>
      </c>
      <c r="B118" s="12" t="s">
        <v>150</v>
      </c>
      <c r="C118" s="12" t="s">
        <v>177</v>
      </c>
      <c r="D118" s="12">
        <v>1</v>
      </c>
    </row>
    <row r="119" ht="25.5" customHeight="1">
      <c r="A119" s="12" t="s">
        <v>207</v>
      </c>
      <c r="B119" s="12" t="s">
        <v>218</v>
      </c>
      <c r="C119" s="12" t="s">
        <v>177</v>
      </c>
      <c r="D119" s="12">
        <v>1</v>
      </c>
    </row>
    <row r="120" ht="25.5" customHeight="1">
      <c r="A120" s="12" t="s">
        <v>10</v>
      </c>
      <c r="B120" s="12" t="s">
        <v>123</v>
      </c>
      <c r="C120" s="12" t="s">
        <v>177</v>
      </c>
      <c r="D120" s="12">
        <v>1</v>
      </c>
    </row>
    <row r="121" ht="38" customHeight="1">
      <c r="A121" s="12" t="s">
        <v>179</v>
      </c>
      <c r="B121" s="12" t="s">
        <v>219</v>
      </c>
      <c r="C121" s="12" t="s">
        <v>181</v>
      </c>
      <c r="D121" s="12">
        <v>1</v>
      </c>
    </row>
    <row r="122" ht="72" customHeight="1">
      <c r="A122" s="12" t="s">
        <v>179</v>
      </c>
      <c r="B122" s="12" t="s">
        <v>220</v>
      </c>
      <c r="C122" s="12" t="s">
        <v>183</v>
      </c>
      <c r="D122" s="12">
        <v>1</v>
      </c>
    </row>
    <row r="123" ht="33" customHeight="1">
      <c r="A123" s="12" t="s">
        <v>179</v>
      </c>
      <c r="B123" s="12" t="s">
        <v>221</v>
      </c>
      <c r="C123" s="12" t="s">
        <v>183</v>
      </c>
      <c r="D123" s="12">
        <v>1</v>
      </c>
    </row>
    <row r="124" ht="19.5" customHeight="1"/>
    <row r="125" ht="33" customHeight="1">
      <c r="A125" s="16" t="s">
        <v>171</v>
      </c>
      <c r="B125" s="16" t="s">
        <v>185</v>
      </c>
      <c r="C125" s="16" t="s">
        <v>186</v>
      </c>
    </row>
    <row r="126" ht="33" customHeight="1">
      <c r="A126" s="12" t="s">
        <v>222</v>
      </c>
      <c r="B126" s="12" t="s">
        <v>223</v>
      </c>
      <c r="C126" s="13" t="s">
        <v>187</v>
      </c>
      <c r="D126" s="15"/>
    </row>
    <row r="127" ht="33" customHeight="1">
      <c r="A127" s="12" t="s">
        <v>188</v>
      </c>
      <c r="B127" s="12" t="s">
        <v>189</v>
      </c>
      <c r="C127" s="13" t="s">
        <v>187</v>
      </c>
      <c r="D127" s="15"/>
    </row>
    <row r="128" ht="33" customHeight="1">
      <c r="A128" s="12" t="s">
        <v>7</v>
      </c>
      <c r="B128" s="12" t="s">
        <v>8</v>
      </c>
      <c r="C128" s="13" t="s">
        <v>187</v>
      </c>
      <c r="D128" s="15"/>
    </row>
    <row r="129" ht="33" customHeight="1">
      <c r="A129" s="12" t="s">
        <v>10</v>
      </c>
      <c r="B129" s="12" t="s">
        <v>11</v>
      </c>
      <c r="C129" s="13" t="s">
        <v>187</v>
      </c>
      <c r="D129" s="15"/>
    </row>
    <row r="130" ht="33" customHeight="1">
      <c r="A130" s="12" t="s">
        <v>207</v>
      </c>
      <c r="B130" s="12" t="s">
        <v>208</v>
      </c>
      <c r="C130" s="13" t="s">
        <v>187</v>
      </c>
      <c r="D130" s="15"/>
    </row>
    <row r="131" ht="19.5" customHeight="1"/>
    <row r="132" ht="20" customHeight="1">
      <c r="A132" s="12" t="s">
        <v>102</v>
      </c>
      <c r="B132" s="12" t="s">
        <v>171</v>
      </c>
      <c r="C132" s="13">
        <f>COUNTA(A126:A130)</f>
        <v>5</v>
      </c>
      <c r="D132" s="15"/>
    </row>
    <row r="133" ht="20" customHeight="1">
      <c r="A133" s="12" t="s">
        <v>102</v>
      </c>
      <c r="B133" s="12" t="s">
        <v>104</v>
      </c>
      <c r="C133" s="13">
        <f>IF(COUNT(D117:D123)&lt;&gt;ROWS(D117:D123),"Dados pendentes",IF(COUNTIF(D117:D123,0)+COUNTIF(D117:D123,1)&lt;&gt;ROWS(D117:D123),"Revisar DER",SUM(D117:D123)))</f>
        <v>7</v>
      </c>
      <c r="D133" s="15"/>
    </row>
    <row r="134" ht="33" customHeight="1">
      <c r="A134" s="12" t="s">
        <v>105</v>
      </c>
      <c r="B134" s="13" t="str">
        <f>IF(OR(NOT(ISNUMBER(C132)),NOT(ISNUMBER(C133)),C132&lt;=0,C133&lt;=0),"Dados pendentes",IF(C133&lt;=4,IF(C132&lt;=2,"Simples","Moderado"),IF(C133&lt;=15,IF(C132&lt;=1,"Simples",IF(C132=2,"Moderado","Complexo")),IF(C132&lt;=1,"Moderado","Complexo"))))</f>
        <v>Complexo</v>
      </c>
      <c r="C134" s="14"/>
      <c r="D134" s="15"/>
    </row>
    <row r="135" ht="22.5" customHeight="1">
      <c r="A135" s="12" t="s">
        <v>106</v>
      </c>
      <c r="B135" s="13">
        <f>IF(B134="Simples",3,IF(B134="Moderado",4,IF(B134="Complexo",6,"Dados pendentes")))</f>
        <v>6</v>
      </c>
      <c r="C135" s="14"/>
      <c r="D135" s="15"/>
    </row>
  </sheetData>
  <mergeCells count="57">
    <mergeCell ref="A1:D1"/>
    <mergeCell ref="C32:D32"/>
    <mergeCell ref="C33:D33"/>
    <mergeCell ref="C34:D34"/>
    <mergeCell ref="C36:D36"/>
    <mergeCell ref="C37:D37"/>
    <mergeCell ref="A42:D42"/>
    <mergeCell ref="C74:D74"/>
    <mergeCell ref="C75:D75"/>
    <mergeCell ref="C76:D76"/>
    <mergeCell ref="C78:D78"/>
    <mergeCell ref="C79:D79"/>
    <mergeCell ref="A84:D84"/>
    <mergeCell ref="C98:D98"/>
    <mergeCell ref="C99:D99"/>
    <mergeCell ref="C100:D100"/>
    <mergeCell ref="C101:D101"/>
    <mergeCell ref="C103:D103"/>
    <mergeCell ref="C104:D104"/>
    <mergeCell ref="A109:D109"/>
    <mergeCell ref="C126:D126"/>
    <mergeCell ref="C127:D127"/>
    <mergeCell ref="C128:D128"/>
    <mergeCell ref="C129:D129"/>
    <mergeCell ref="C130:D130"/>
    <mergeCell ref="C132:D132"/>
    <mergeCell ref="C133:D133"/>
    <mergeCell ref="B2:D2"/>
    <mergeCell ref="B3:D3"/>
    <mergeCell ref="B4:D4"/>
    <mergeCell ref="B5:D5"/>
    <mergeCell ref="B6:D6"/>
    <mergeCell ref="B7:D7"/>
    <mergeCell ref="B38:D38"/>
    <mergeCell ref="B39:D39"/>
    <mergeCell ref="B43:D43"/>
    <mergeCell ref="B44:D44"/>
    <mergeCell ref="B45:D45"/>
    <mergeCell ref="B46:D46"/>
    <mergeCell ref="B47:D47"/>
    <mergeCell ref="B48:D48"/>
    <mergeCell ref="B80:D80"/>
    <mergeCell ref="B81:D81"/>
    <mergeCell ref="B85:D85"/>
    <mergeCell ref="B86:D86"/>
    <mergeCell ref="B87:D87"/>
    <mergeCell ref="B88:D88"/>
    <mergeCell ref="B89:D89"/>
    <mergeCell ref="B105:D105"/>
    <mergeCell ref="B106:D106"/>
    <mergeCell ref="B110:D110"/>
    <mergeCell ref="B111:D111"/>
    <mergeCell ref="B112:D112"/>
    <mergeCell ref="B113:D113"/>
    <mergeCell ref="B114:D114"/>
    <mergeCell ref="B134:D134"/>
    <mergeCell ref="B135:D135"/>
  </mergeCells>
  <pageMargins left="0.699999988079071" right="0.699999988079071" top="0.75" bottom="0.75" header="0.30000001192092896" footer="0.30000001192092896"/>
  <pageSetup paperSize="8" fitToWidth="1" fitToHeight="0" orientation="landscape"/>
  <drawing r:id="rId1"/>
</worksheet>
</file>

<file path=xl/worksheets/sheet7.xml><?xml version="1.0" encoding="utf-8"?>
<worksheet xmlns="http://schemas.openxmlformats.org/spreadsheetml/2006/main" xmlns:r="http://schemas.openxmlformats.org/officeDocument/2006/relationships">
  <sheetPr>
    <pageSetUpPr fitToPage="1"/>
  </sheetPr>
  <dimension ref="A1:D32"/>
  <sheetViews>
    <sheetView showGridLines="0" topLeftCell="A24" workbookViewId="0">
      <selection activeCell="A36" sqref="A36"/>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224</v>
      </c>
      <c r="B1" s="8"/>
      <c r="C1" s="8"/>
      <c r="D1" s="9"/>
    </row>
    <row r="2" ht="45" customHeight="1">
      <c r="A2" s="12" t="s">
        <v>162</v>
      </c>
      <c r="B2" s="13" t="s">
        <v>225</v>
      </c>
      <c r="C2" s="14"/>
      <c r="D2" s="15"/>
    </row>
    <row r="3" ht="72" customHeight="1">
      <c r="A3" s="12" t="s">
        <v>107</v>
      </c>
      <c r="B3" s="13" t="s">
        <v>226</v>
      </c>
      <c r="C3" s="14"/>
      <c r="D3" s="15"/>
    </row>
    <row r="4" ht="69" customHeight="1">
      <c r="A4" s="12" t="s">
        <v>227</v>
      </c>
      <c r="B4" s="13" t="s">
        <v>228</v>
      </c>
      <c r="C4" s="14"/>
      <c r="D4" s="15"/>
    </row>
    <row r="5" ht="93" customHeight="1">
      <c r="A5" s="12" t="s">
        <v>229</v>
      </c>
      <c r="B5" s="13" t="s">
        <v>230</v>
      </c>
      <c r="C5" s="14"/>
      <c r="D5" s="15"/>
    </row>
    <row r="6" ht="45" customHeight="1">
      <c r="A6" s="12" t="s">
        <v>231</v>
      </c>
      <c r="B6" s="13" t="s">
        <v>232</v>
      </c>
      <c r="C6" s="14"/>
      <c r="D6" s="15"/>
    </row>
    <row r="7" ht="22.5" customHeight="1">
      <c r="A7" s="12" t="s">
        <v>171</v>
      </c>
      <c r="B7" s="13" t="s">
        <v>233</v>
      </c>
      <c r="C7" s="14"/>
      <c r="D7" s="15"/>
    </row>
    <row r="8" ht="19.5" customHeight="1"/>
    <row r="9" ht="20" customHeight="1">
      <c r="A9" s="16" t="s">
        <v>173</v>
      </c>
      <c r="B9" s="16" t="s">
        <v>174</v>
      </c>
      <c r="C9" s="16" t="s">
        <v>175</v>
      </c>
      <c r="D9" s="16" t="s">
        <v>176</v>
      </c>
    </row>
    <row r="10" ht="25.5" customHeight="1">
      <c r="A10" s="12" t="s">
        <v>188</v>
      </c>
      <c r="B10" s="12" t="s">
        <v>234</v>
      </c>
      <c r="C10" s="12" t="s">
        <v>235</v>
      </c>
      <c r="D10" s="12">
        <v>1</v>
      </c>
    </row>
    <row r="11" ht="33" customHeight="1">
      <c r="A11" s="12" t="s">
        <v>236</v>
      </c>
      <c r="B11" s="12" t="s">
        <v>237</v>
      </c>
      <c r="C11" s="12" t="s">
        <v>238</v>
      </c>
      <c r="D11" s="12">
        <v>1</v>
      </c>
    </row>
    <row r="12" ht="33" customHeight="1">
      <c r="A12" s="12" t="s">
        <v>236</v>
      </c>
      <c r="B12" s="12" t="s">
        <v>239</v>
      </c>
      <c r="C12" s="12" t="s">
        <v>238</v>
      </c>
      <c r="D12" s="12">
        <v>1</v>
      </c>
    </row>
    <row r="13" ht="72" customHeight="1">
      <c r="A13" s="12" t="s">
        <v>236</v>
      </c>
      <c r="B13" s="12" t="s">
        <v>240</v>
      </c>
      <c r="C13" s="12" t="s">
        <v>241</v>
      </c>
      <c r="D13" s="12">
        <v>0</v>
      </c>
    </row>
    <row r="14" ht="33" customHeight="1">
      <c r="A14" s="12" t="s">
        <v>236</v>
      </c>
      <c r="B14" s="12" t="s">
        <v>242</v>
      </c>
      <c r="C14" s="12" t="s">
        <v>243</v>
      </c>
      <c r="D14" s="12">
        <v>1</v>
      </c>
    </row>
    <row r="15" ht="38" customHeight="1">
      <c r="A15" s="12" t="s">
        <v>236</v>
      </c>
      <c r="B15" s="12" t="s">
        <v>244</v>
      </c>
      <c r="C15" s="12" t="s">
        <v>243</v>
      </c>
      <c r="D15" s="12">
        <v>1</v>
      </c>
    </row>
    <row r="16" ht="33" customHeight="1">
      <c r="A16" s="12" t="s">
        <v>236</v>
      </c>
      <c r="B16" s="12" t="s">
        <v>245</v>
      </c>
      <c r="C16" s="12" t="s">
        <v>243</v>
      </c>
      <c r="D16" s="12">
        <v>1</v>
      </c>
    </row>
    <row r="17" ht="33" customHeight="1">
      <c r="A17" s="12" t="s">
        <v>236</v>
      </c>
      <c r="B17" s="12" t="s">
        <v>246</v>
      </c>
      <c r="C17" s="12" t="s">
        <v>243</v>
      </c>
      <c r="D17" s="12">
        <v>1</v>
      </c>
    </row>
    <row r="18" ht="33" customHeight="1">
      <c r="A18" s="12" t="s">
        <v>236</v>
      </c>
      <c r="B18" s="12" t="s">
        <v>247</v>
      </c>
      <c r="C18" s="12" t="s">
        <v>243</v>
      </c>
      <c r="D18" s="12">
        <v>1</v>
      </c>
    </row>
    <row r="19" ht="33" customHeight="1">
      <c r="A19" s="12" t="s">
        <v>236</v>
      </c>
      <c r="B19" s="12" t="s">
        <v>248</v>
      </c>
      <c r="C19" s="12" t="s">
        <v>243</v>
      </c>
      <c r="D19" s="12">
        <v>1</v>
      </c>
    </row>
    <row r="20" ht="25.5" customHeight="1">
      <c r="A20" s="12" t="s">
        <v>179</v>
      </c>
      <c r="B20" s="12" t="s">
        <v>249</v>
      </c>
      <c r="C20" s="12" t="s">
        <v>250</v>
      </c>
      <c r="D20" s="12">
        <v>1</v>
      </c>
    </row>
    <row r="21" ht="33" customHeight="1">
      <c r="A21" s="12" t="s">
        <v>179</v>
      </c>
      <c r="B21" s="12" t="s">
        <v>251</v>
      </c>
      <c r="C21" s="12" t="s">
        <v>252</v>
      </c>
      <c r="D21" s="12">
        <v>1</v>
      </c>
    </row>
    <row r="22" ht="19.5" customHeight="1"/>
    <row r="23" ht="33" customHeight="1">
      <c r="A23" s="16" t="s">
        <v>171</v>
      </c>
      <c r="B23" s="16" t="s">
        <v>185</v>
      </c>
      <c r="C23" s="16" t="s">
        <v>186</v>
      </c>
    </row>
    <row r="24" ht="33" customHeight="1">
      <c r="A24" s="12" t="s">
        <v>188</v>
      </c>
      <c r="B24" s="12" t="s">
        <v>189</v>
      </c>
      <c r="C24" s="13" t="s">
        <v>187</v>
      </c>
      <c r="D24" s="15"/>
    </row>
    <row r="25" ht="33" customHeight="1">
      <c r="A25" s="12" t="s">
        <v>7</v>
      </c>
      <c r="B25" s="12" t="s">
        <v>8</v>
      </c>
      <c r="C25" s="13" t="s">
        <v>187</v>
      </c>
      <c r="D25" s="15"/>
    </row>
    <row r="26" ht="33" customHeight="1">
      <c r="A26" s="12" t="s">
        <v>207</v>
      </c>
      <c r="B26" s="12" t="s">
        <v>208</v>
      </c>
      <c r="C26" s="13" t="s">
        <v>187</v>
      </c>
      <c r="D26" s="15"/>
    </row>
    <row r="27" ht="33" customHeight="1">
      <c r="A27" s="12" t="s">
        <v>209</v>
      </c>
      <c r="B27" s="12" t="s">
        <v>210</v>
      </c>
      <c r="C27" s="13" t="s">
        <v>187</v>
      </c>
      <c r="D27" s="15"/>
    </row>
    <row r="28" ht="19.5" customHeight="1"/>
    <row r="29" ht="20" customHeight="1">
      <c r="A29" s="12" t="s">
        <v>102</v>
      </c>
      <c r="B29" s="12" t="s">
        <v>171</v>
      </c>
      <c r="C29" s="13">
        <f>COUNTA(A24:A27)</f>
        <v>4</v>
      </c>
      <c r="D29" s="15"/>
    </row>
    <row r="30" ht="20" customHeight="1">
      <c r="A30" s="12" t="s">
        <v>102</v>
      </c>
      <c r="B30" s="12" t="s">
        <v>104</v>
      </c>
      <c r="C30" s="13">
        <f>IF(COUNT(D10:D21)&lt;&gt;ROWS(D10:D21),"Dados pendentes",IF(COUNTIF(D10:D21,0)+COUNTIF(D10:D21,1)&lt;&gt;ROWS(D10:D21),"Revisar DER",SUM(D10:D21)))</f>
        <v>11</v>
      </c>
      <c r="D30" s="15"/>
    </row>
    <row r="31" ht="33" customHeight="1">
      <c r="A31" s="12" t="s">
        <v>105</v>
      </c>
      <c r="B31" s="13" t="str">
        <f>IF(OR(NOT(ISNUMBER(C29)),NOT(ISNUMBER(C30)),C29&lt;=0,C30&lt;=0),"Dados pendentes",IF(C30&lt;=5,IF(C29&lt;=3,"Simples","Moderado"),IF(C30&lt;=19,IF(C29&lt;=1,"Simples",IF(C29&lt;=3,"Moderado","Complexo")),IF(C29&lt;=1,"Moderado","Complexo"))))</f>
        <v>Complexo</v>
      </c>
      <c r="C31" s="14"/>
      <c r="D31" s="15"/>
    </row>
    <row r="32" ht="22.5" customHeight="1">
      <c r="A32" s="12" t="s">
        <v>106</v>
      </c>
      <c r="B32" s="13">
        <f>IF(B31="Simples",4,IF(B31="Moderado",5,IF(B31="Complexo",7,"Dados pendentes")))</f>
        <v>7</v>
      </c>
      <c r="C32" s="14"/>
      <c r="D32" s="15"/>
    </row>
    <row r="36" ht="30" customHeight="1"/>
    <row r="37" ht="57" customHeight="1"/>
    <row r="38" ht="32" customHeight="1"/>
    <row r="39" ht="32" customHeight="1"/>
    <row r="40" ht="32" customHeight="1"/>
    <row r="41" ht="32" customHeight="1"/>
    <row r="42" ht="38" customHeight="1"/>
    <row r="43" ht="32" customHeight="1"/>
    <row r="44" ht="32" customHeight="1"/>
    <row r="45" ht="32" customHeight="1"/>
    <row r="46" ht="32" customHeight="1"/>
    <row r="47" ht="38" customHeight="1"/>
    <row r="48" ht="32" customHeight="1"/>
    <row r="49" ht="32" customHeight="1"/>
    <row r="50" ht="32" customHeight="1"/>
    <row r="51" ht="32" customHeight="1"/>
    <row r="52" ht="32" customHeight="1"/>
    <row r="53" ht="32" customHeight="1"/>
    <row r="54" ht="32" customHeight="1"/>
    <row r="55" ht="38" customHeight="1"/>
    <row r="56" ht="32" customHeight="1"/>
    <row r="57" ht="32" customHeight="1"/>
    <row r="58" ht="32" customHeight="1"/>
    <row r="59" ht="32" customHeight="1"/>
    <row r="60" ht="32" customHeight="1"/>
    <row r="61" ht="32" customHeight="1"/>
    <row r="62" ht="32" customHeight="1"/>
    <row r="63" ht="32" customHeight="1"/>
    <row r="64" ht="32" customHeight="1"/>
    <row r="65" ht="32" customHeight="1"/>
    <row r="66" ht="32" customHeight="1"/>
    <row r="67" ht="32" customHeight="1"/>
    <row r="68" ht="32" customHeight="1"/>
    <row r="69" ht="32" customHeight="1"/>
    <row r="70" ht="32" customHeight="1"/>
    <row r="71" ht="55" customHeight="1"/>
  </sheetData>
  <mergeCells count="15">
    <mergeCell ref="A1:D1"/>
    <mergeCell ref="C24:D24"/>
    <mergeCell ref="C25:D25"/>
    <mergeCell ref="C26:D26"/>
    <mergeCell ref="C27:D27"/>
    <mergeCell ref="C29:D29"/>
    <mergeCell ref="C30:D30"/>
    <mergeCell ref="B2:D2"/>
    <mergeCell ref="B3:D3"/>
    <mergeCell ref="B4:D4"/>
    <mergeCell ref="B5:D5"/>
    <mergeCell ref="B6:D6"/>
    <mergeCell ref="B7:D7"/>
    <mergeCell ref="B31:D31"/>
    <mergeCell ref="B32:D32"/>
  </mergeCells>
  <pageMargins left="0.699999988079071" right="0.699999988079071" top="0.75" bottom="0.75" header="0.30000001192092896" footer="0.30000001192092896"/>
  <pageSetup paperSize="8" fitToWidth="1" fitToHeight="0" orientation="landscape"/>
  <rowBreaks count="1" manualBreakCount="1">
    <brk id="35" max="16383" man="1"/>
  </rowBreaks>
  <drawing r:id="rId1"/>
</worksheet>
</file>

<file path=xl/worksheets/sheet8.xml><?xml version="1.0" encoding="utf-8"?>
<worksheet xmlns="http://schemas.openxmlformats.org/spreadsheetml/2006/main" xmlns:r="http://schemas.openxmlformats.org/officeDocument/2006/relationships">
  <sheetPr>
    <pageSetUpPr fitToPage="1"/>
  </sheetPr>
  <dimension ref="A1:D26"/>
  <sheetViews>
    <sheetView showGridLines="0" topLeftCell="A30" workbookViewId="0">
      <selection activeCell="C30" sqref="C30"/>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253</v>
      </c>
      <c r="B1" s="8"/>
      <c r="C1" s="8"/>
      <c r="D1" s="9"/>
    </row>
    <row r="2" ht="45" customHeight="1">
      <c r="A2" s="12" t="s">
        <v>162</v>
      </c>
      <c r="B2" s="13" t="s">
        <v>254</v>
      </c>
      <c r="C2" s="14"/>
      <c r="D2" s="15"/>
    </row>
    <row r="3" ht="72" customHeight="1">
      <c r="A3" s="12" t="s">
        <v>107</v>
      </c>
      <c r="B3" s="13" t="s">
        <v>255</v>
      </c>
      <c r="C3" s="14"/>
      <c r="D3" s="15"/>
    </row>
    <row r="4" ht="57" customHeight="1">
      <c r="A4" s="12" t="s">
        <v>227</v>
      </c>
      <c r="B4" s="13" t="s">
        <v>256</v>
      </c>
      <c r="C4" s="14"/>
      <c r="D4" s="15"/>
    </row>
    <row r="5" ht="57" customHeight="1">
      <c r="A5" s="12" t="s">
        <v>229</v>
      </c>
      <c r="B5" s="13" t="s">
        <v>257</v>
      </c>
      <c r="C5" s="14"/>
      <c r="D5" s="15"/>
    </row>
    <row r="6" ht="45" customHeight="1">
      <c r="A6" s="12" t="s">
        <v>258</v>
      </c>
      <c r="B6" s="13" t="s">
        <v>259</v>
      </c>
      <c r="C6" s="14"/>
      <c r="D6" s="15"/>
    </row>
    <row r="7" ht="22.5" customHeight="1">
      <c r="A7" s="12" t="s">
        <v>171</v>
      </c>
      <c r="B7" s="13" t="s">
        <v>260</v>
      </c>
      <c r="C7" s="14"/>
      <c r="D7" s="15"/>
    </row>
    <row r="8" ht="19.5" customHeight="1"/>
    <row r="9" ht="20" customHeight="1">
      <c r="A9" s="16" t="s">
        <v>173</v>
      </c>
      <c r="B9" s="16" t="s">
        <v>174</v>
      </c>
      <c r="C9" s="16" t="s">
        <v>175</v>
      </c>
      <c r="D9" s="16" t="s">
        <v>176</v>
      </c>
    </row>
    <row r="10" ht="25.5" customHeight="1">
      <c r="A10" s="12" t="s">
        <v>10</v>
      </c>
      <c r="B10" s="12" t="s">
        <v>119</v>
      </c>
      <c r="C10" s="12" t="s">
        <v>238</v>
      </c>
      <c r="D10" s="12">
        <v>1</v>
      </c>
    </row>
    <row r="11" ht="25.5" customHeight="1">
      <c r="A11" s="12" t="s">
        <v>261</v>
      </c>
      <c r="B11" s="12" t="s">
        <v>262</v>
      </c>
      <c r="C11" s="12" t="s">
        <v>243</v>
      </c>
      <c r="D11" s="12">
        <v>1</v>
      </c>
    </row>
    <row r="12" ht="25.5" customHeight="1">
      <c r="A12" s="12" t="s">
        <v>7</v>
      </c>
      <c r="B12" s="12" t="s">
        <v>64</v>
      </c>
      <c r="C12" s="12" t="s">
        <v>243</v>
      </c>
      <c r="D12" s="12">
        <v>1</v>
      </c>
    </row>
    <row r="13" ht="25.5" customHeight="1">
      <c r="A13" s="12" t="s">
        <v>7</v>
      </c>
      <c r="B13" s="12" t="s">
        <v>69</v>
      </c>
      <c r="C13" s="12" t="s">
        <v>243</v>
      </c>
      <c r="D13" s="12">
        <v>1</v>
      </c>
    </row>
    <row r="14" ht="25.5" customHeight="1">
      <c r="A14" s="12" t="s">
        <v>261</v>
      </c>
      <c r="B14" s="12" t="s">
        <v>263</v>
      </c>
      <c r="C14" s="12" t="s">
        <v>243</v>
      </c>
      <c r="D14" s="12">
        <v>1</v>
      </c>
    </row>
    <row r="15" ht="25.5" customHeight="1">
      <c r="A15" s="12" t="s">
        <v>261</v>
      </c>
      <c r="B15" s="12" t="s">
        <v>264</v>
      </c>
      <c r="C15" s="12" t="s">
        <v>243</v>
      </c>
      <c r="D15" s="12">
        <v>1</v>
      </c>
    </row>
    <row r="16" ht="72" customHeight="1">
      <c r="A16" s="12" t="s">
        <v>179</v>
      </c>
      <c r="B16" s="12" t="s">
        <v>249</v>
      </c>
      <c r="C16" s="12" t="s">
        <v>250</v>
      </c>
      <c r="D16" s="12">
        <v>1</v>
      </c>
    </row>
    <row r="17" ht="38" customHeight="1">
      <c r="A17" s="12" t="s">
        <v>179</v>
      </c>
      <c r="B17" s="12" t="s">
        <v>251</v>
      </c>
      <c r="C17" s="12" t="s">
        <v>252</v>
      </c>
      <c r="D17" s="12">
        <v>1</v>
      </c>
    </row>
    <row r="18" ht="19.5" customHeight="1"/>
    <row r="19" ht="33" customHeight="1">
      <c r="A19" s="16" t="s">
        <v>171</v>
      </c>
      <c r="B19" s="16" t="s">
        <v>185</v>
      </c>
      <c r="C19" s="16" t="s">
        <v>186</v>
      </c>
    </row>
    <row r="20" ht="33" customHeight="1">
      <c r="A20" s="12" t="s">
        <v>10</v>
      </c>
      <c r="B20" s="12" t="s">
        <v>11</v>
      </c>
      <c r="C20" s="13" t="s">
        <v>187</v>
      </c>
      <c r="D20" s="15"/>
    </row>
    <row r="21" ht="33" customHeight="1">
      <c r="A21" s="12" t="s">
        <v>7</v>
      </c>
      <c r="B21" s="12" t="s">
        <v>8</v>
      </c>
      <c r="C21" s="13" t="s">
        <v>187</v>
      </c>
      <c r="D21" s="15"/>
    </row>
    <row r="22" ht="19.5" customHeight="1"/>
    <row r="23" ht="20" customHeight="1">
      <c r="A23" s="12" t="s">
        <v>102</v>
      </c>
      <c r="B23" s="12" t="s">
        <v>171</v>
      </c>
      <c r="C23" s="13">
        <f>COUNTA(A20:A21)</f>
        <v>2</v>
      </c>
      <c r="D23" s="15"/>
    </row>
    <row r="24" ht="20" customHeight="1">
      <c r="A24" s="12" t="s">
        <v>102</v>
      </c>
      <c r="B24" s="12" t="s">
        <v>104</v>
      </c>
      <c r="C24" s="13">
        <f>IF(COUNT(D10:D17)&lt;&gt;ROWS(D10:D17),"Dados pendentes",IF(COUNTIF(D10:D17,0)+COUNTIF(D10:D17,1)&lt;&gt;ROWS(D10:D17),"Revisar DER",SUM(D10:D17)))</f>
        <v>8</v>
      </c>
      <c r="D24" s="15"/>
    </row>
    <row r="25" ht="33" customHeight="1">
      <c r="A25" s="12" t="s">
        <v>105</v>
      </c>
      <c r="B25" s="13" t="str">
        <f>IF(OR(NOT(ISNUMBER(C23)),NOT(ISNUMBER(C24)),C23&lt;=0,C24&lt;=0),"Dados pendentes",IF(C24&lt;=5,IF(C23&lt;=3,"Simples","Moderado"),IF(C24&lt;=19,IF(C23&lt;=1,"Simples",IF(C23&lt;=3,"Moderado","Complexo")),IF(C23&lt;=1,"Moderado","Complexo"))))</f>
        <v>Moderado</v>
      </c>
      <c r="C25" s="14"/>
      <c r="D25" s="15"/>
    </row>
    <row r="26" ht="22.5" customHeight="1">
      <c r="A26" s="12" t="s">
        <v>106</v>
      </c>
      <c r="B26" s="13">
        <f>IF(B25="Simples",4,IF(B25="Moderado",5,IF(B25="Complexo",7,"Dados pendentes")))</f>
        <v>5</v>
      </c>
      <c r="C26" s="14"/>
      <c r="D26" s="15"/>
    </row>
    <row r="30" ht="30" customHeight="1"/>
    <row r="31" ht="57" customHeight="1"/>
    <row r="32" ht="32" customHeight="1"/>
    <row r="33" ht="38" customHeight="1"/>
    <row r="34" ht="34" customHeight="1"/>
    <row r="35" ht="34" customHeight="1"/>
    <row r="36" ht="34" customHeight="1"/>
    <row r="37" ht="34" customHeight="1"/>
    <row r="38" ht="34" customHeight="1"/>
    <row r="39" ht="34" customHeight="1"/>
    <row r="40" ht="38" customHeight="1"/>
    <row r="41" ht="32" customHeight="1"/>
    <row r="42" ht="32" customHeight="1"/>
    <row r="43" ht="32" customHeight="1"/>
    <row r="44" ht="30" customHeight="1"/>
    <row r="45" ht="38" customHeight="1"/>
    <row r="46" ht="32" customHeight="1"/>
    <row r="47" ht="32" customHeight="1"/>
    <row r="48" ht="32" customHeight="1"/>
    <row r="49" ht="55" customHeight="1"/>
  </sheetData>
  <mergeCells count="13">
    <mergeCell ref="A1:D1"/>
    <mergeCell ref="C20:D20"/>
    <mergeCell ref="C21:D21"/>
    <mergeCell ref="C23:D23"/>
    <mergeCell ref="C24:D24"/>
    <mergeCell ref="B2:D2"/>
    <mergeCell ref="B3:D3"/>
    <mergeCell ref="B4:D4"/>
    <mergeCell ref="B5:D5"/>
    <mergeCell ref="B6:D6"/>
    <mergeCell ref="B7:D7"/>
    <mergeCell ref="B25:D25"/>
    <mergeCell ref="B26:D26"/>
  </mergeCells>
  <pageMargins left="0.699999988079071" right="0.699999988079071" top="0.75" bottom="0.75" header="0.30000001192092896" footer="0.30000001192092896"/>
  <pageSetup paperSize="8" fitToWidth="1" fitToHeight="0" orientation="landscape"/>
  <rowBreaks count="1" manualBreakCount="1">
    <brk id="29" max="16383" man="1"/>
  </rowBreaks>
  <drawing r:id="rId1"/>
</worksheet>
</file>

<file path=xl/worksheets/sheet9.xml><?xml version="1.0" encoding="utf-8"?>
<worksheet xmlns="http://schemas.openxmlformats.org/spreadsheetml/2006/main" xmlns:r="http://schemas.openxmlformats.org/officeDocument/2006/relationships">
  <sheetPr>
    <pageSetUpPr fitToPage="1"/>
  </sheetPr>
  <dimension ref="A1:D26"/>
  <sheetViews>
    <sheetView showGridLines="0" topLeftCell="A16" workbookViewId="0">
      <selection activeCell="G50" sqref="G50"/>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265</v>
      </c>
      <c r="B1" s="8"/>
      <c r="C1" s="8"/>
      <c r="D1" s="9"/>
    </row>
    <row r="2" ht="33" customHeight="1">
      <c r="A2" s="12" t="s">
        <v>162</v>
      </c>
      <c r="B2" s="13" t="s">
        <v>266</v>
      </c>
      <c r="C2" s="14"/>
      <c r="D2" s="15"/>
    </row>
    <row r="3" ht="72" customHeight="1">
      <c r="A3" s="12" t="s">
        <v>107</v>
      </c>
      <c r="B3" s="13" t="s">
        <v>267</v>
      </c>
      <c r="C3" s="14"/>
      <c r="D3" s="15"/>
    </row>
    <row r="4" ht="45" customHeight="1">
      <c r="A4" s="12" t="s">
        <v>268</v>
      </c>
      <c r="B4" s="13" t="s">
        <v>269</v>
      </c>
      <c r="C4" s="14"/>
      <c r="D4" s="15"/>
    </row>
    <row r="5" ht="45" customHeight="1">
      <c r="A5" s="12" t="s">
        <v>270</v>
      </c>
      <c r="B5" s="13" t="s">
        <v>271</v>
      </c>
      <c r="C5" s="14"/>
      <c r="D5" s="15"/>
    </row>
    <row r="6" ht="57" customHeight="1">
      <c r="A6" s="12" t="s">
        <v>272</v>
      </c>
      <c r="B6" s="13" t="s">
        <v>273</v>
      </c>
      <c r="C6" s="14"/>
      <c r="D6" s="15"/>
    </row>
    <row r="7" ht="22.5" customHeight="1">
      <c r="A7" s="12" t="s">
        <v>171</v>
      </c>
      <c r="B7" s="13" t="s">
        <v>274</v>
      </c>
      <c r="C7" s="14"/>
      <c r="D7" s="15"/>
    </row>
    <row r="8" ht="19.5" customHeight="1"/>
    <row r="9" ht="20" customHeight="1">
      <c r="A9" s="16" t="s">
        <v>173</v>
      </c>
      <c r="B9" s="16" t="s">
        <v>174</v>
      </c>
      <c r="C9" s="16" t="s">
        <v>175</v>
      </c>
      <c r="D9" s="16" t="s">
        <v>176</v>
      </c>
    </row>
    <row r="10" ht="25.5" customHeight="1">
      <c r="A10" s="12" t="s">
        <v>7</v>
      </c>
      <c r="B10" s="12" t="s">
        <v>98</v>
      </c>
      <c r="C10" s="12" t="s">
        <v>238</v>
      </c>
      <c r="D10" s="12">
        <v>1</v>
      </c>
    </row>
    <row r="11" ht="25.5" customHeight="1">
      <c r="A11" s="12" t="s">
        <v>7</v>
      </c>
      <c r="B11" s="12" t="s">
        <v>64</v>
      </c>
      <c r="C11" s="12" t="s">
        <v>235</v>
      </c>
      <c r="D11" s="12">
        <v>1</v>
      </c>
    </row>
    <row r="12" ht="25.5" customHeight="1">
      <c r="A12" s="12" t="s">
        <v>7</v>
      </c>
      <c r="B12" s="12" t="s">
        <v>69</v>
      </c>
      <c r="C12" s="12" t="s">
        <v>235</v>
      </c>
      <c r="D12" s="12">
        <v>1</v>
      </c>
    </row>
    <row r="13" ht="25.5" customHeight="1">
      <c r="A13" s="12" t="s">
        <v>7</v>
      </c>
      <c r="B13" s="12" t="s">
        <v>96</v>
      </c>
      <c r="C13" s="12" t="s">
        <v>235</v>
      </c>
      <c r="D13" s="12">
        <v>1</v>
      </c>
    </row>
    <row r="14" ht="38" customHeight="1">
      <c r="A14" s="12" t="s">
        <v>7</v>
      </c>
      <c r="B14" s="12" t="s">
        <v>94</v>
      </c>
      <c r="C14" s="12" t="s">
        <v>275</v>
      </c>
      <c r="D14" s="12">
        <v>1</v>
      </c>
    </row>
    <row r="15" ht="25.5" customHeight="1">
      <c r="A15" s="12" t="s">
        <v>7</v>
      </c>
      <c r="B15" s="12" t="s">
        <v>67</v>
      </c>
      <c r="C15" s="12" t="s">
        <v>275</v>
      </c>
      <c r="D15" s="12">
        <v>1</v>
      </c>
    </row>
    <row r="16" ht="72" customHeight="1">
      <c r="A16" s="12" t="s">
        <v>7</v>
      </c>
      <c r="B16" s="12" t="s">
        <v>71</v>
      </c>
      <c r="C16" s="12" t="s">
        <v>275</v>
      </c>
      <c r="D16" s="12">
        <v>1</v>
      </c>
    </row>
    <row r="17" ht="25.5" customHeight="1">
      <c r="A17" s="12" t="s">
        <v>179</v>
      </c>
      <c r="B17" s="12" t="s">
        <v>276</v>
      </c>
      <c r="C17" s="12" t="s">
        <v>250</v>
      </c>
      <c r="D17" s="12">
        <v>1</v>
      </c>
    </row>
    <row r="18" ht="33" customHeight="1">
      <c r="A18" s="12" t="s">
        <v>179</v>
      </c>
      <c r="B18" s="12" t="s">
        <v>251</v>
      </c>
      <c r="C18" s="12" t="s">
        <v>252</v>
      </c>
      <c r="D18" s="12">
        <v>1</v>
      </c>
    </row>
    <row r="19" ht="19.5" customHeight="1"/>
    <row r="20" ht="33" customHeight="1">
      <c r="A20" s="16" t="s">
        <v>171</v>
      </c>
      <c r="B20" s="16" t="s">
        <v>185</v>
      </c>
      <c r="C20" s="16" t="s">
        <v>186</v>
      </c>
    </row>
    <row r="21" ht="33" customHeight="1">
      <c r="A21" s="12" t="s">
        <v>7</v>
      </c>
      <c r="B21" s="12" t="s">
        <v>8</v>
      </c>
      <c r="C21" s="13" t="s">
        <v>187</v>
      </c>
      <c r="D21" s="15"/>
    </row>
    <row r="22" ht="19.5" customHeight="1"/>
    <row r="23" ht="20" customHeight="1">
      <c r="A23" s="12" t="s">
        <v>102</v>
      </c>
      <c r="B23" s="12" t="s">
        <v>171</v>
      </c>
      <c r="C23" s="13">
        <f>COUNTA(A21:A21)</f>
        <v>1</v>
      </c>
      <c r="D23" s="15"/>
    </row>
    <row r="24" ht="20" customHeight="1">
      <c r="A24" s="12" t="s">
        <v>102</v>
      </c>
      <c r="B24" s="12" t="s">
        <v>104</v>
      </c>
      <c r="C24" s="13">
        <f>IF(COUNT(D10:D18)&lt;&gt;ROWS(D10:D18),"Dados pendentes",IF(COUNTIF(D10:D18,0)+COUNTIF(D10:D18,1)&lt;&gt;ROWS(D10:D18),"Revisar DER",SUM(D10:D18)))</f>
        <v>9</v>
      </c>
      <c r="D24" s="15"/>
    </row>
    <row r="25" ht="33" customHeight="1">
      <c r="A25" s="12" t="s">
        <v>105</v>
      </c>
      <c r="B25" s="13" t="str">
        <f>IF(OR(NOT(ISNUMBER(C23)),NOT(ISNUMBER(C24)),C23&lt;=0,C24&lt;=0),"Dados pendentes",IF(C24&lt;=5,IF(C23&lt;=3,"Simples","Moderado"),IF(C24&lt;=19,IF(C23&lt;=1,"Simples",IF(C23&lt;=3,"Moderado","Complexo")),IF(C23&lt;=1,"Moderado","Complexo"))))</f>
        <v>Simples</v>
      </c>
      <c r="C25" s="14"/>
      <c r="D25" s="15"/>
    </row>
    <row r="26" ht="22.5" customHeight="1">
      <c r="A26" s="12" t="s">
        <v>106</v>
      </c>
      <c r="B26" s="13">
        <f>IF(B25="Simples",3,IF(B25="Moderado",4,IF(B25="Complexo",6,"Dados pendentes")))</f>
        <v>3</v>
      </c>
      <c r="C26" s="14"/>
      <c r="D26" s="15"/>
    </row>
    <row r="27" ht="19.5" customHeight="1"/>
    <row r="28" ht="19.5" customHeight="1"/>
    <row r="29" ht="38" customHeight="1"/>
    <row r="41" ht="72" customHeight="1"/>
  </sheetData>
  <mergeCells count="12">
    <mergeCell ref="A1:D1"/>
    <mergeCell ref="C21:D21"/>
    <mergeCell ref="C23:D23"/>
    <mergeCell ref="C24:D24"/>
    <mergeCell ref="B2:D2"/>
    <mergeCell ref="B3:D3"/>
    <mergeCell ref="B4:D4"/>
    <mergeCell ref="B5:D5"/>
    <mergeCell ref="B6:D6"/>
    <mergeCell ref="B7:D7"/>
    <mergeCell ref="B25:D25"/>
    <mergeCell ref="B26:D26"/>
  </mergeCells>
  <pageMargins left="0.699999988079071" right="0.699999988079071" top="0.75" bottom="0.75" header="0.30000001192092896" footer="0.30000001192092896"/>
  <pageSetup paperSize="8" fitToWidth="1" fitToHeight="0" orientation="landscape"/>
  <drawing r:id="rId1"/>
</worksheet>
</file>

<file path=xl/worksheets/sheet10.xml><?xml version="1.0" encoding="utf-8"?>
<worksheet xmlns="http://schemas.openxmlformats.org/spreadsheetml/2006/main" xmlns:r="http://schemas.openxmlformats.org/officeDocument/2006/relationships">
  <sheetPr>
    <pageSetUpPr fitToPage="1"/>
  </sheetPr>
  <dimension ref="A1:D25"/>
  <sheetViews>
    <sheetView showGridLines="0" topLeftCell="A24" workbookViewId="0">
      <selection activeCell="G50" sqref="G50"/>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277</v>
      </c>
      <c r="B1" s="8"/>
      <c r="C1" s="8"/>
      <c r="D1" s="9"/>
    </row>
    <row r="2" ht="33" customHeight="1">
      <c r="A2" s="12" t="s">
        <v>162</v>
      </c>
      <c r="B2" s="13" t="s">
        <v>278</v>
      </c>
      <c r="C2" s="14"/>
      <c r="D2" s="15"/>
    </row>
    <row r="3" ht="72" customHeight="1">
      <c r="A3" s="12" t="s">
        <v>107</v>
      </c>
      <c r="B3" s="13" t="s">
        <v>279</v>
      </c>
      <c r="C3" s="14"/>
      <c r="D3" s="15"/>
    </row>
    <row r="4" ht="45" customHeight="1">
      <c r="A4" s="12" t="s">
        <v>268</v>
      </c>
      <c r="B4" s="13" t="s">
        <v>280</v>
      </c>
      <c r="C4" s="14"/>
      <c r="D4" s="15"/>
    </row>
    <row r="5" ht="57" customHeight="1">
      <c r="A5" s="12" t="s">
        <v>270</v>
      </c>
      <c r="B5" s="13" t="s">
        <v>281</v>
      </c>
      <c r="C5" s="14"/>
      <c r="D5" s="15"/>
    </row>
    <row r="6" ht="45" customHeight="1">
      <c r="A6" s="12" t="s">
        <v>272</v>
      </c>
      <c r="B6" s="13" t="s">
        <v>282</v>
      </c>
      <c r="C6" s="14"/>
      <c r="D6" s="15"/>
    </row>
    <row r="7" ht="22.5" customHeight="1">
      <c r="A7" s="12" t="s">
        <v>171</v>
      </c>
      <c r="B7" s="13" t="s">
        <v>260</v>
      </c>
      <c r="C7" s="14"/>
      <c r="D7" s="15"/>
    </row>
    <row r="8" ht="19.5" customHeight="1"/>
    <row r="9" ht="20" customHeight="1">
      <c r="A9" s="16" t="s">
        <v>173</v>
      </c>
      <c r="B9" s="16" t="s">
        <v>174</v>
      </c>
      <c r="C9" s="16" t="s">
        <v>175</v>
      </c>
      <c r="D9" s="16" t="s">
        <v>176</v>
      </c>
    </row>
    <row r="10" ht="25.5" customHeight="1">
      <c r="A10" s="12" t="s">
        <v>10</v>
      </c>
      <c r="B10" s="12" t="s">
        <v>116</v>
      </c>
      <c r="C10" s="12" t="s">
        <v>238</v>
      </c>
      <c r="D10" s="12">
        <v>1</v>
      </c>
    </row>
    <row r="11" ht="25.5" customHeight="1">
      <c r="A11" s="12" t="s">
        <v>10</v>
      </c>
      <c r="B11" s="12" t="s">
        <v>119</v>
      </c>
      <c r="C11" s="12" t="s">
        <v>235</v>
      </c>
      <c r="D11" s="12">
        <v>1</v>
      </c>
    </row>
    <row r="12" ht="38" customHeight="1">
      <c r="A12" s="12" t="s">
        <v>10</v>
      </c>
      <c r="B12" s="12" t="s">
        <v>118</v>
      </c>
      <c r="C12" s="12" t="s">
        <v>275</v>
      </c>
      <c r="D12" s="12">
        <v>1</v>
      </c>
    </row>
    <row r="13" ht="25.5" customHeight="1">
      <c r="A13" s="12" t="s">
        <v>10</v>
      </c>
      <c r="B13" s="12" t="s">
        <v>120</v>
      </c>
      <c r="C13" s="12" t="s">
        <v>275</v>
      </c>
      <c r="D13" s="12">
        <v>1</v>
      </c>
    </row>
    <row r="14" ht="25.5" customHeight="1">
      <c r="A14" s="12" t="s">
        <v>10</v>
      </c>
      <c r="B14" s="12" t="s">
        <v>123</v>
      </c>
      <c r="C14" s="12" t="s">
        <v>275</v>
      </c>
      <c r="D14" s="12">
        <v>1</v>
      </c>
    </row>
    <row r="15" ht="25.5" customHeight="1">
      <c r="A15" s="12" t="s">
        <v>179</v>
      </c>
      <c r="B15" s="12" t="s">
        <v>276</v>
      </c>
      <c r="C15" s="12" t="s">
        <v>250</v>
      </c>
      <c r="D15" s="12">
        <v>1</v>
      </c>
    </row>
    <row r="16" ht="72" customHeight="1">
      <c r="A16" s="12" t="s">
        <v>179</v>
      </c>
      <c r="B16" s="12" t="s">
        <v>251</v>
      </c>
      <c r="C16" s="12" t="s">
        <v>252</v>
      </c>
      <c r="D16" s="12">
        <v>1</v>
      </c>
    </row>
    <row r="17" ht="19.5" customHeight="1"/>
    <row r="18" ht="33" customHeight="1">
      <c r="A18" s="16" t="s">
        <v>171</v>
      </c>
      <c r="B18" s="16" t="s">
        <v>185</v>
      </c>
      <c r="C18" s="16" t="s">
        <v>186</v>
      </c>
    </row>
    <row r="19" ht="33" customHeight="1">
      <c r="A19" s="12" t="s">
        <v>10</v>
      </c>
      <c r="B19" s="12" t="s">
        <v>11</v>
      </c>
      <c r="C19" s="13" t="s">
        <v>187</v>
      </c>
      <c r="D19" s="15"/>
    </row>
    <row r="20" ht="33" customHeight="1">
      <c r="A20" s="12" t="s">
        <v>7</v>
      </c>
      <c r="B20" s="12" t="s">
        <v>8</v>
      </c>
      <c r="C20" s="13" t="s">
        <v>187</v>
      </c>
      <c r="D20" s="15"/>
    </row>
    <row r="21" ht="19.5" customHeight="1"/>
    <row r="22" ht="20" customHeight="1">
      <c r="A22" s="12" t="s">
        <v>102</v>
      </c>
      <c r="B22" s="12" t="s">
        <v>171</v>
      </c>
      <c r="C22" s="13">
        <f>COUNTA(A19:A20)</f>
        <v>2</v>
      </c>
      <c r="D22" s="15"/>
    </row>
    <row r="23" ht="20" customHeight="1">
      <c r="A23" s="12" t="s">
        <v>102</v>
      </c>
      <c r="B23" s="12" t="s">
        <v>104</v>
      </c>
      <c r="C23" s="13">
        <f>IF(COUNT(D10:D16)&lt;&gt;ROWS(D10:D16),"Dados pendentes",IF(COUNTIF(D10:D16,0)+COUNTIF(D10:D16,1)&lt;&gt;ROWS(D10:D16),"Revisar DER",SUM(D10:D16)))</f>
        <v>7</v>
      </c>
      <c r="D23" s="15"/>
    </row>
    <row r="24" ht="33" customHeight="1">
      <c r="A24" s="12" t="s">
        <v>105</v>
      </c>
      <c r="B24" s="13" t="str">
        <f>IF(OR(NOT(ISNUMBER(C22)),NOT(ISNUMBER(C23)),C22&lt;=0,C23&lt;=0),"Dados pendentes",IF(C23&lt;=5,IF(C22&lt;=3,"Simples","Moderado"),IF(C23&lt;=19,IF(C22&lt;=1,"Simples",IF(C22&lt;=3,"Moderado","Complexo")),IF(C22&lt;=1,"Moderado","Complexo"))))</f>
        <v>Moderado</v>
      </c>
      <c r="C24" s="14"/>
      <c r="D24" s="15"/>
    </row>
    <row r="25" ht="22.5" customHeight="1">
      <c r="A25" s="12" t="s">
        <v>106</v>
      </c>
      <c r="B25" s="13">
        <f>IF(B24="Simples",3,IF(B24="Moderado",4,IF(B24="Complexo",6,"Dados pendentes")))</f>
        <v>4</v>
      </c>
      <c r="C25" s="14"/>
      <c r="D25" s="15"/>
    </row>
    <row r="26" ht="19.5" customHeight="1"/>
    <row r="27" ht="19.5" customHeight="1"/>
    <row r="28" ht="31.5" customHeight="1"/>
    <row r="29" ht="38" customHeight="1"/>
    <row r="41" ht="72" customHeight="1"/>
  </sheetData>
  <mergeCells count="13">
    <mergeCell ref="A1:D1"/>
    <mergeCell ref="C19:D19"/>
    <mergeCell ref="C20:D20"/>
    <mergeCell ref="C22:D22"/>
    <mergeCell ref="C23:D23"/>
    <mergeCell ref="B2:D2"/>
    <mergeCell ref="B3:D3"/>
    <mergeCell ref="B4:D4"/>
    <mergeCell ref="B5:D5"/>
    <mergeCell ref="B6:D6"/>
    <mergeCell ref="B7:D7"/>
    <mergeCell ref="B24:D24"/>
    <mergeCell ref="B25:D25"/>
  </mergeCells>
  <pageMargins left="0.699999988079071" right="0.699999988079071" top="0.75" bottom="0.75" header="0.30000001192092896" footer="0.30000001192092896"/>
  <pageSetup paperSize="8" fitToWidth="1" fitToHeight="0" orientation="landscape"/>
  <drawing r:id="rId1"/>
</worksheet>
</file>

<file path=xl/worksheets/sheet11.xml><?xml version="1.0" encoding="utf-8"?>
<worksheet xmlns="http://schemas.openxmlformats.org/spreadsheetml/2006/main" xmlns:r="http://schemas.openxmlformats.org/officeDocument/2006/relationships">
  <sheetPr>
    <pageSetUpPr fitToPage="1"/>
  </sheetPr>
  <dimension ref="A1:D43"/>
  <sheetViews>
    <sheetView showGridLines="0" topLeftCell="A42" workbookViewId="0">
      <selection activeCell="D59" sqref="D59"/>
    </sheetView>
  </sheetViews>
  <sheetFormatPr defaultRowHeight="15"/>
  <cols>
    <col min="1" max="1" width="28.7109375" customWidth="1"/>
    <col min="2" max="2" width="38.7109375" customWidth="1"/>
    <col min="3" max="3" width="20.7109375" customWidth="1"/>
    <col min="4" max="4" width="56.7109375" customWidth="1"/>
    <col min="5" max="16" width="9.7109375" customWidth="1"/>
  </cols>
  <sheetData>
    <row r="1" ht="22.5" customHeight="1">
      <c r="A1" s="7" t="s">
        <v>283</v>
      </c>
      <c r="B1" s="8"/>
      <c r="C1" s="8"/>
      <c r="D1" s="9"/>
    </row>
    <row r="2" ht="57" customHeight="1">
      <c r="A2" s="12" t="s">
        <v>284</v>
      </c>
      <c r="B2" s="13" t="s">
        <v>285</v>
      </c>
      <c r="C2" s="14"/>
      <c r="D2" s="15"/>
    </row>
    <row r="3" ht="45" customHeight="1">
      <c r="A3" s="12" t="s">
        <v>286</v>
      </c>
      <c r="B3" s="13" t="s">
        <v>287</v>
      </c>
      <c r="C3" s="14"/>
      <c r="D3" s="15"/>
    </row>
    <row r="4" ht="45" customHeight="1">
      <c r="A4" s="12" t="s">
        <v>288</v>
      </c>
      <c r="B4" s="13" t="s">
        <v>289</v>
      </c>
      <c r="C4" s="14"/>
      <c r="D4" s="15"/>
    </row>
    <row r="5" ht="19.5" customHeight="1"/>
    <row r="6" ht="22.5" customHeight="1">
      <c r="A6" s="7" t="s">
        <v>290</v>
      </c>
      <c r="B6" s="8"/>
      <c r="C6" s="8"/>
      <c r="D6" s="9"/>
    </row>
    <row r="7" ht="20" customHeight="1">
      <c r="A7" s="16" t="s">
        <v>291</v>
      </c>
      <c r="B7" s="16" t="s">
        <v>292</v>
      </c>
      <c r="C7" s="16" t="s">
        <v>293</v>
      </c>
      <c r="D7" s="16" t="s">
        <v>294</v>
      </c>
    </row>
    <row r="8" ht="21" customHeight="1">
      <c r="A8" s="12" t="s">
        <v>295</v>
      </c>
      <c r="B8" s="12" t="s">
        <v>296</v>
      </c>
      <c r="C8" s="12" t="s">
        <v>296</v>
      </c>
      <c r="D8" s="12" t="s">
        <v>297</v>
      </c>
    </row>
    <row r="9" ht="21" customHeight="1">
      <c r="A9" s="12" t="s">
        <v>298</v>
      </c>
      <c r="B9" s="12" t="s">
        <v>296</v>
      </c>
      <c r="C9" s="12" t="s">
        <v>297</v>
      </c>
      <c r="D9" s="12" t="s">
        <v>299</v>
      </c>
    </row>
    <row r="10" ht="21" customHeight="1">
      <c r="A10" s="12" t="s">
        <v>300</v>
      </c>
      <c r="B10" s="12" t="s">
        <v>297</v>
      </c>
      <c r="C10" s="12" t="s">
        <v>299</v>
      </c>
      <c r="D10" s="12" t="s">
        <v>299</v>
      </c>
    </row>
    <row r="11" ht="21" customHeight="1">
      <c r="A11" s="12" t="s">
        <v>301</v>
      </c>
      <c r="B11" s="12">
        <v>7</v>
      </c>
      <c r="C11" s="12">
        <v>10</v>
      </c>
      <c r="D11" s="12">
        <v>15</v>
      </c>
    </row>
    <row r="12" ht="19.5" customHeight="1"/>
    <row r="13" ht="19.5" customHeight="1"/>
    <row r="14" ht="22.5" customHeight="1">
      <c r="A14" s="7" t="s">
        <v>302</v>
      </c>
      <c r="B14" s="8"/>
      <c r="C14" s="8"/>
      <c r="D14" s="9"/>
    </row>
    <row r="15" ht="20" customHeight="1">
      <c r="A15" s="16" t="s">
        <v>291</v>
      </c>
      <c r="B15" s="16" t="s">
        <v>292</v>
      </c>
      <c r="C15" s="16" t="s">
        <v>293</v>
      </c>
      <c r="D15" s="16" t="s">
        <v>294</v>
      </c>
    </row>
    <row r="16" ht="21" customHeight="1">
      <c r="A16" s="12" t="s">
        <v>295</v>
      </c>
      <c r="B16" s="12" t="s">
        <v>296</v>
      </c>
      <c r="C16" s="12" t="s">
        <v>296</v>
      </c>
      <c r="D16" s="12" t="s">
        <v>297</v>
      </c>
    </row>
    <row r="17" ht="21" customHeight="1">
      <c r="A17" s="12" t="s">
        <v>298</v>
      </c>
      <c r="B17" s="12" t="s">
        <v>296</v>
      </c>
      <c r="C17" s="12" t="s">
        <v>297</v>
      </c>
      <c r="D17" s="12" t="s">
        <v>299</v>
      </c>
    </row>
    <row r="18" ht="21" customHeight="1">
      <c r="A18" s="12" t="s">
        <v>300</v>
      </c>
      <c r="B18" s="12" t="s">
        <v>297</v>
      </c>
      <c r="C18" s="12" t="s">
        <v>299</v>
      </c>
      <c r="D18" s="12" t="s">
        <v>299</v>
      </c>
    </row>
    <row r="19" ht="21" customHeight="1">
      <c r="A19" s="12" t="s">
        <v>301</v>
      </c>
      <c r="B19" s="12">
        <v>5</v>
      </c>
      <c r="C19" s="12">
        <v>7</v>
      </c>
      <c r="D19" s="12">
        <v>10</v>
      </c>
    </row>
    <row r="20" ht="19.5" customHeight="1"/>
    <row r="21" ht="19.5" customHeight="1"/>
    <row r="22" ht="22.5" customHeight="1">
      <c r="A22" s="7" t="s">
        <v>303</v>
      </c>
      <c r="B22" s="8"/>
      <c r="C22" s="8"/>
      <c r="D22" s="9"/>
    </row>
    <row r="23" ht="20" customHeight="1">
      <c r="A23" s="16" t="s">
        <v>291</v>
      </c>
      <c r="B23" s="16" t="s">
        <v>304</v>
      </c>
      <c r="C23" s="16" t="s">
        <v>305</v>
      </c>
      <c r="D23" s="16" t="s">
        <v>306</v>
      </c>
    </row>
    <row r="24" ht="21" customHeight="1">
      <c r="A24" s="12" t="s">
        <v>307</v>
      </c>
      <c r="B24" s="12" t="s">
        <v>296</v>
      </c>
      <c r="C24" s="12" t="s">
        <v>296</v>
      </c>
      <c r="D24" s="12" t="s">
        <v>297</v>
      </c>
    </row>
    <row r="25" ht="21" customHeight="1">
      <c r="A25" s="12" t="s">
        <v>308</v>
      </c>
      <c r="B25" s="12" t="s">
        <v>296</v>
      </c>
      <c r="C25" s="12" t="s">
        <v>297</v>
      </c>
      <c r="D25" s="12" t="s">
        <v>299</v>
      </c>
    </row>
    <row r="26" ht="21" customHeight="1">
      <c r="A26" s="12" t="s">
        <v>309</v>
      </c>
      <c r="B26" s="12" t="s">
        <v>297</v>
      </c>
      <c r="C26" s="12" t="s">
        <v>299</v>
      </c>
      <c r="D26" s="12" t="s">
        <v>299</v>
      </c>
    </row>
    <row r="27" ht="21" customHeight="1">
      <c r="A27" s="12" t="s">
        <v>301</v>
      </c>
      <c r="B27" s="12">
        <v>3</v>
      </c>
      <c r="C27" s="12">
        <v>4</v>
      </c>
      <c r="D27" s="12">
        <v>6</v>
      </c>
    </row>
    <row r="28" ht="19.5" customHeight="1"/>
    <row r="29" ht="19.5" customHeight="1"/>
    <row r="30" ht="22.5" customHeight="1">
      <c r="A30" s="7" t="s">
        <v>310</v>
      </c>
      <c r="B30" s="8"/>
      <c r="C30" s="8"/>
      <c r="D30" s="9"/>
    </row>
    <row r="31" ht="20" customHeight="1">
      <c r="A31" s="16" t="s">
        <v>291</v>
      </c>
      <c r="B31" s="16" t="s">
        <v>311</v>
      </c>
      <c r="C31" s="16" t="s">
        <v>312</v>
      </c>
      <c r="D31" s="16" t="s">
        <v>313</v>
      </c>
    </row>
    <row r="32" ht="21" customHeight="1">
      <c r="A32" s="12" t="s">
        <v>307</v>
      </c>
      <c r="B32" s="12" t="s">
        <v>296</v>
      </c>
      <c r="C32" s="12" t="s">
        <v>296</v>
      </c>
      <c r="D32" s="12" t="s">
        <v>297</v>
      </c>
    </row>
    <row r="33" ht="21" customHeight="1">
      <c r="A33" s="12" t="s">
        <v>314</v>
      </c>
      <c r="B33" s="12" t="s">
        <v>296</v>
      </c>
      <c r="C33" s="12" t="s">
        <v>297</v>
      </c>
      <c r="D33" s="12" t="s">
        <v>299</v>
      </c>
    </row>
    <row r="34" ht="21" customHeight="1">
      <c r="A34" s="12" t="s">
        <v>315</v>
      </c>
      <c r="B34" s="12" t="s">
        <v>297</v>
      </c>
      <c r="C34" s="12" t="s">
        <v>299</v>
      </c>
      <c r="D34" s="12" t="s">
        <v>299</v>
      </c>
    </row>
    <row r="35" ht="21" customHeight="1">
      <c r="A35" s="12" t="s">
        <v>301</v>
      </c>
      <c r="B35" s="12">
        <v>4</v>
      </c>
      <c r="C35" s="12">
        <v>5</v>
      </c>
      <c r="D35" s="12">
        <v>7</v>
      </c>
    </row>
    <row r="36" ht="19.5" customHeight="1"/>
    <row r="37" ht="19.5" customHeight="1"/>
    <row r="38" ht="22.5" customHeight="1">
      <c r="A38" s="7" t="s">
        <v>316</v>
      </c>
      <c r="B38" s="8"/>
      <c r="C38" s="8"/>
      <c r="D38" s="9"/>
    </row>
    <row r="39" ht="20" customHeight="1">
      <c r="A39" s="16" t="s">
        <v>291</v>
      </c>
      <c r="B39" s="16" t="s">
        <v>311</v>
      </c>
      <c r="C39" s="16" t="s">
        <v>312</v>
      </c>
      <c r="D39" s="16" t="s">
        <v>313</v>
      </c>
    </row>
    <row r="40" ht="21" customHeight="1">
      <c r="A40" s="12" t="s">
        <v>307</v>
      </c>
      <c r="B40" s="12" t="s">
        <v>296</v>
      </c>
      <c r="C40" s="12" t="s">
        <v>296</v>
      </c>
      <c r="D40" s="12" t="s">
        <v>297</v>
      </c>
    </row>
    <row r="41" ht="21" customHeight="1">
      <c r="A41" s="12" t="s">
        <v>314</v>
      </c>
      <c r="B41" s="12" t="s">
        <v>296</v>
      </c>
      <c r="C41" s="12" t="s">
        <v>297</v>
      </c>
      <c r="D41" s="12" t="s">
        <v>299</v>
      </c>
    </row>
    <row r="42" ht="21" customHeight="1">
      <c r="A42" s="12" t="s">
        <v>315</v>
      </c>
      <c r="B42" s="12" t="s">
        <v>297</v>
      </c>
      <c r="C42" s="12" t="s">
        <v>299</v>
      </c>
      <c r="D42" s="12" t="s">
        <v>299</v>
      </c>
    </row>
    <row r="43" ht="21" customHeight="1">
      <c r="A43" s="12" t="s">
        <v>301</v>
      </c>
      <c r="B43" s="12">
        <v>3</v>
      </c>
      <c r="C43" s="12">
        <v>4</v>
      </c>
      <c r="D43" s="12">
        <v>6</v>
      </c>
    </row>
    <row r="44" ht="19.5" customHeight="1"/>
    <row r="45" ht="19.5" customHeight="1"/>
    <row r="46" ht="75" customHeight="1"/>
    <row r="47" ht="33" customHeight="1"/>
    <row r="48" ht="72" customHeight="1"/>
    <row r="49" ht="45" customHeight="1"/>
    <row r="50" ht="45" customHeight="1"/>
  </sheetData>
  <mergeCells count="9">
    <mergeCell ref="A1:D1"/>
    <mergeCell ref="A6:D6"/>
    <mergeCell ref="A14:D14"/>
    <mergeCell ref="A22:D22"/>
    <mergeCell ref="A30:D30"/>
    <mergeCell ref="A38:D38"/>
    <mergeCell ref="B2:D2"/>
    <mergeCell ref="B3:D3"/>
    <mergeCell ref="B4:D4"/>
  </mergeCells>
  <pageMargins left="0.699999988079071" right="0.699999988079071" top="0.75" bottom="0.75" header="0.30000001192092896" footer="0.30000001192092896"/>
  <pageSetup paperSize="9" fitToWidth="1" fitToHeight="0" orientation="landscape"/>
</worksheet>
</file>

<file path=xl/worksheets/sheet12.xml><?xml version="1.0" encoding="utf-8"?>
<worksheet xmlns="http://schemas.openxmlformats.org/spreadsheetml/2006/main" xmlns:r="http://schemas.openxmlformats.org/officeDocument/2006/relationships">
  <sheetPr>
    <pageSetUpPr fitToPage="1"/>
  </sheetPr>
  <dimension ref="A2:D49"/>
  <sheetViews>
    <sheetView tabSelected="1" showGridLines="0" topLeftCell="A58" workbookViewId="0">
      <selection activeCell="A50" sqref="A50"/>
    </sheetView>
  </sheetViews>
  <sheetFormatPr defaultRowHeight="15"/>
  <cols>
    <col min="1" max="1" width="36.00390625" customWidth="1"/>
    <col min="2" max="2" width="16.00390625" customWidth="1"/>
    <col min="3" max="3" width="96.00390625" customWidth="1"/>
    <col min="4" max="4" width="42.00390625" customWidth="1"/>
  </cols>
  <sheetData>
    <row r="1" ht="30" customHeight="1"/>
    <row r="2" ht="27" customHeight="1">
      <c r="A2" s="32" t="s">
        <v>317</v>
      </c>
      <c r="B2" s="34">
        <f>Contribuição!D17</f>
        <v>65</v>
      </c>
      <c r="C2" s="17" t="s">
        <v>318</v>
      </c>
      <c r="D2" s="19"/>
    </row>
    <row r="3" ht="48" customHeight="1">
      <c r="A3" s="32" t="s">
        <v>319</v>
      </c>
      <c r="B3" s="34">
        <f>IF(COUNT(B9:B22)&lt;&gt;ROWS(B9:B22),"Notas pendentes",IF(SUM(COUNTIF(B9:B22,0),COUNTIF(B9:B22,1),COUNTIF(B9:B22,2),COUNTIF(B9:B22,3),COUNTIF(B9:B22,4),COUNTIF(B9:B22,5))&lt;&gt;ROWS(B9:B22),"Notas inválidas",SUM(B9:B22)))</f>
        <v>25</v>
      </c>
      <c r="C3" s="17" t="s">
        <v>320</v>
      </c>
      <c r="D3" s="19"/>
    </row>
    <row r="4">
      <c r="A4" s="32" t="s">
        <v>40</v>
      </c>
      <c r="B4" s="36">
        <f>IF(ISNUMBER(B3),0.65+0.01*B3,"Revisar NI")</f>
        <v>0.9</v>
      </c>
      <c r="C4" s="17" t="s">
        <v>321</v>
      </c>
      <c r="D4" s="19"/>
    </row>
    <row r="5" ht="36" customHeight="1">
      <c r="A5" s="32" t="s">
        <v>322</v>
      </c>
      <c r="B5" s="36">
        <f>IF(AND(ISNUMBER(B2),ISNUMBER(B4)),B2*B4,"Revisar dados")</f>
        <v>58.5</v>
      </c>
      <c r="C5" s="17" t="s">
        <v>323</v>
      </c>
      <c r="D5" s="19"/>
    </row>
    <row r="6" ht="36" customHeight="1"/>
    <row r="7" ht="36" customHeight="1">
      <c r="A7" s="37" t="s">
        <v>324</v>
      </c>
      <c r="B7" s="38"/>
      <c r="C7" s="38"/>
      <c r="D7" s="39"/>
    </row>
    <row r="8" ht="36" customHeight="1">
      <c r="A8" s="16" t="s">
        <v>325</v>
      </c>
      <c r="B8" s="16" t="s">
        <v>326</v>
      </c>
      <c r="C8" s="16" t="s">
        <v>327</v>
      </c>
      <c r="D8" s="16" t="s">
        <v>328</v>
      </c>
    </row>
    <row r="9">
      <c r="A9" s="40" t="s">
        <v>329</v>
      </c>
      <c r="B9" s="42">
        <v>4</v>
      </c>
      <c r="C9" s="40" t="s">
        <v>330</v>
      </c>
      <c r="D9" s="40" t="s">
        <v>331</v>
      </c>
    </row>
    <row r="10" ht="26" customHeight="1">
      <c r="A10" s="40" t="s">
        <v>332</v>
      </c>
      <c r="B10" s="42">
        <v>4</v>
      </c>
      <c r="C10" s="40" t="s">
        <v>333</v>
      </c>
      <c r="D10" s="40" t="s">
        <v>334</v>
      </c>
    </row>
    <row r="11" ht="32" customHeight="1">
      <c r="A11" s="40" t="s">
        <v>335</v>
      </c>
      <c r="B11" s="42">
        <v>1</v>
      </c>
      <c r="C11" s="40" t="s">
        <v>336</v>
      </c>
      <c r="D11" s="40" t="s">
        <v>337</v>
      </c>
    </row>
    <row r="12" ht="54" customHeight="1">
      <c r="A12" s="40" t="s">
        <v>338</v>
      </c>
      <c r="B12" s="42">
        <v>0</v>
      </c>
      <c r="C12" s="40" t="s">
        <v>339</v>
      </c>
      <c r="D12" s="40" t="s">
        <v>340</v>
      </c>
    </row>
    <row r="13" ht="54" customHeight="1">
      <c r="A13" s="40" t="s">
        <v>341</v>
      </c>
      <c r="B13" s="42">
        <v>1</v>
      </c>
      <c r="C13" s="40" t="s">
        <v>342</v>
      </c>
      <c r="D13" s="40" t="s">
        <v>343</v>
      </c>
    </row>
    <row r="14" ht="54" customHeight="1">
      <c r="A14" s="40" t="s">
        <v>344</v>
      </c>
      <c r="B14" s="42">
        <v>5</v>
      </c>
      <c r="C14" s="40" t="s">
        <v>345</v>
      </c>
      <c r="D14" s="40" t="s">
        <v>346</v>
      </c>
    </row>
    <row r="15" ht="54" customHeight="1">
      <c r="A15" s="40" t="s">
        <v>347</v>
      </c>
      <c r="B15" s="42">
        <v>3</v>
      </c>
      <c r="C15" s="40" t="s">
        <v>348</v>
      </c>
      <c r="D15" s="40" t="s">
        <v>349</v>
      </c>
    </row>
    <row r="16" ht="54" customHeight="1">
      <c r="A16" s="40" t="s">
        <v>350</v>
      </c>
      <c r="B16" s="42">
        <v>3</v>
      </c>
      <c r="C16" s="40" t="s">
        <v>351</v>
      </c>
      <c r="D16" s="40" t="s">
        <v>352</v>
      </c>
    </row>
    <row r="17" ht="54" customHeight="1">
      <c r="A17" s="40" t="s">
        <v>353</v>
      </c>
      <c r="B17" s="42">
        <v>1</v>
      </c>
      <c r="C17" s="40" t="s">
        <v>354</v>
      </c>
      <c r="D17" s="40" t="s">
        <v>355</v>
      </c>
    </row>
    <row r="18" ht="54" customHeight="1">
      <c r="A18" s="40" t="s">
        <v>356</v>
      </c>
      <c r="B18" s="42">
        <v>1</v>
      </c>
      <c r="C18" s="40" t="s">
        <v>357</v>
      </c>
      <c r="D18" s="40" t="s">
        <v>358</v>
      </c>
    </row>
    <row r="19" ht="54" customHeight="1">
      <c r="A19" s="40" t="s">
        <v>359</v>
      </c>
      <c r="B19" s="42">
        <v>1</v>
      </c>
      <c r="C19" s="40" t="s">
        <v>360</v>
      </c>
      <c r="D19" s="40" t="s">
        <v>361</v>
      </c>
    </row>
    <row r="20" ht="54" customHeight="1">
      <c r="A20" s="40" t="s">
        <v>362</v>
      </c>
      <c r="B20" s="42">
        <v>1</v>
      </c>
      <c r="C20" s="40" t="s">
        <v>363</v>
      </c>
      <c r="D20" s="40" t="s">
        <v>364</v>
      </c>
    </row>
    <row r="21" ht="54" customHeight="1">
      <c r="A21" s="40" t="s">
        <v>365</v>
      </c>
      <c r="B21" s="42">
        <v>0</v>
      </c>
      <c r="C21" s="40" t="s">
        <v>366</v>
      </c>
      <c r="D21" s="40" t="s">
        <v>367</v>
      </c>
    </row>
    <row r="22" ht="54" customHeight="1">
      <c r="A22" s="40" t="s">
        <v>368</v>
      </c>
      <c r="B22" s="42">
        <v>0</v>
      </c>
      <c r="C22" s="40" t="s">
        <v>369</v>
      </c>
      <c r="D22" s="40" t="s">
        <v>370</v>
      </c>
    </row>
    <row r="23" ht="54" customHeight="1"/>
    <row r="24" ht="54" customHeight="1"/>
    <row r="25" ht="54" customHeight="1"/>
    <row r="26">
      <c r="A26" s="37" t="s">
        <v>371</v>
      </c>
      <c r="B26" s="38"/>
      <c r="C26" s="38"/>
      <c r="D26" s="39"/>
    </row>
    <row r="27">
      <c r="A27" s="16" t="s">
        <v>372</v>
      </c>
      <c r="B27" s="16" t="s">
        <v>373</v>
      </c>
      <c r="C27" s="16" t="s">
        <v>374</v>
      </c>
      <c r="D27" s="16" t="s">
        <v>375</v>
      </c>
    </row>
    <row r="28">
      <c r="A28" s="40" t="s">
        <v>376</v>
      </c>
      <c r="B28" s="44">
        <v>10</v>
      </c>
      <c r="C28" s="40" t="s">
        <v>377</v>
      </c>
      <c r="D28" s="40" t="s">
        <v>378</v>
      </c>
    </row>
    <row r="29" ht="26" customHeight="1">
      <c r="A29" s="40" t="s">
        <v>379</v>
      </c>
      <c r="B29" s="42">
        <v>1</v>
      </c>
      <c r="C29" s="40" t="s">
        <v>380</v>
      </c>
      <c r="D29" s="40" t="s">
        <v>381</v>
      </c>
    </row>
    <row r="30" ht="32" customHeight="1">
      <c r="A30" s="40" t="s">
        <v>382</v>
      </c>
      <c r="B30" s="42">
        <v>8</v>
      </c>
      <c r="C30" s="40" t="s">
        <v>383</v>
      </c>
      <c r="D30" s="40" t="s">
        <v>384</v>
      </c>
    </row>
    <row r="31" ht="54" customHeight="1">
      <c r="A31" s="40" t="s">
        <v>385</v>
      </c>
      <c r="B31" s="46">
        <v>0.75</v>
      </c>
      <c r="C31" s="40" t="s">
        <v>386</v>
      </c>
      <c r="D31" s="40" t="s">
        <v>387</v>
      </c>
    </row>
    <row r="32" ht="54" customHeight="1">
      <c r="A32" s="40" t="s">
        <v>388</v>
      </c>
      <c r="B32" s="42">
        <v>5</v>
      </c>
      <c r="C32" s="40" t="s">
        <v>389</v>
      </c>
      <c r="D32" s="40" t="s">
        <v>390</v>
      </c>
    </row>
    <row r="33" ht="54" customHeight="1">
      <c r="A33" s="40" t="s">
        <v>391</v>
      </c>
      <c r="B33" s="48">
        <v>50</v>
      </c>
      <c r="C33" s="40" t="s">
        <v>392</v>
      </c>
      <c r="D33" s="40" t="s">
        <v>393</v>
      </c>
    </row>
    <row r="34" ht="54" customHeight="1">
      <c r="A34" s="40" t="s">
        <v>394</v>
      </c>
      <c r="B34" s="46">
        <v>0.2</v>
      </c>
      <c r="C34" s="40" t="s">
        <v>395</v>
      </c>
      <c r="D34" s="40" t="s">
        <v>396</v>
      </c>
    </row>
    <row r="35" ht="54" customHeight="1">
      <c r="A35" s="40" t="s">
        <v>397</v>
      </c>
      <c r="B35" s="48">
        <v>0</v>
      </c>
      <c r="C35" s="40" t="s">
        <v>398</v>
      </c>
      <c r="D35" s="40" t="s">
        <v>399</v>
      </c>
    </row>
    <row r="36" ht="54" customHeight="1"/>
    <row r="37" ht="54" customHeight="1">
      <c r="A37" s="37" t="s">
        <v>400</v>
      </c>
      <c r="B37" s="38"/>
      <c r="C37" s="38"/>
      <c r="D37" s="39"/>
    </row>
    <row r="38" ht="54" customHeight="1">
      <c r="A38" s="16" t="s">
        <v>401</v>
      </c>
      <c r="B38" s="16" t="s">
        <v>402</v>
      </c>
      <c r="C38" s="16" t="s">
        <v>403</v>
      </c>
      <c r="D38" s="16" t="s">
        <v>404</v>
      </c>
    </row>
    <row r="39" ht="37" customHeight="1">
      <c r="A39" s="40" t="s">
        <v>405</v>
      </c>
      <c r="B39" s="44">
        <f>IF(AND(ISNUMBER(B30),B30&gt;0,ISNUMBER(B31),B31&gt;0,B31&lt;=1),B30*B31,"Revisar jornada")</f>
        <v>6</v>
      </c>
      <c r="C39" s="40" t="s">
        <v>406</v>
      </c>
      <c r="D39" s="40" t="s">
        <v>407</v>
      </c>
    </row>
    <row r="40">
      <c r="A40" s="40" t="s">
        <v>408</v>
      </c>
      <c r="B40" s="44">
        <f>IF(AND(ISNUMBER(B5),ISNUMBER(B28),B28&gt;0),B5*B28,"Revisar dados")</f>
        <v>585</v>
      </c>
      <c r="C40" s="40" t="s">
        <v>409</v>
      </c>
      <c r="D40" s="40" t="s">
        <v>410</v>
      </c>
    </row>
    <row r="41" ht="26" customHeight="1">
      <c r="A41" s="40" t="s">
        <v>411</v>
      </c>
      <c r="B41" s="44">
        <f>IF(AND(ISNUMBER(B40),ISNUMBER(B34),B34&gt;=0,B34&lt;=1),B40*B34,"Revisar reserva")</f>
        <v>117</v>
      </c>
      <c r="C41" s="40" t="s">
        <v>412</v>
      </c>
      <c r="D41" s="40" t="s">
        <v>410</v>
      </c>
    </row>
    <row r="42" ht="32" customHeight="1">
      <c r="A42" s="32" t="s">
        <v>413</v>
      </c>
      <c r="B42" s="36">
        <f>IF(AND(ISNUMBER(B40),ISNUMBER(B41)),SUM(B40:B41),"Revisar dados")</f>
        <v>702</v>
      </c>
      <c r="C42" s="40" t="s">
        <v>414</v>
      </c>
      <c r="D42" s="40" t="s">
        <v>410</v>
      </c>
    </row>
    <row r="43" ht="36" customHeight="1">
      <c r="A43" s="40" t="s">
        <v>415</v>
      </c>
      <c r="B43" s="44">
        <f>IF(AND(ISNUMBER(B29),B29&gt;0,ISNUMBER(B39)),B29*B39,"Revisar equipe")</f>
        <v>6</v>
      </c>
      <c r="C43" s="40" t="s">
        <v>416</v>
      </c>
      <c r="D43" s="40" t="s">
        <v>417</v>
      </c>
    </row>
    <row r="44" ht="36" customHeight="1">
      <c r="A44" s="40" t="s">
        <v>418</v>
      </c>
      <c r="B44" s="44">
        <f>IF(AND(ISNUMBER(B42),ISNUMBER(B43)),B42/B43,"Revisar dados")</f>
        <v>117</v>
      </c>
      <c r="C44" s="40" t="s">
        <v>419</v>
      </c>
      <c r="D44" s="40" t="s">
        <v>420</v>
      </c>
    </row>
    <row r="45" ht="36" customHeight="1">
      <c r="A45" s="32" t="s">
        <v>421</v>
      </c>
      <c r="B45" s="34">
        <f>IF(ISNUMBER(B44),ROUNDUP(ROUND(B44,10),0),"Revisar dados")</f>
        <v>117</v>
      </c>
      <c r="C45" s="40" t="s">
        <v>422</v>
      </c>
      <c r="D45" s="40" t="s">
        <v>420</v>
      </c>
    </row>
    <row r="46" ht="36" customHeight="1">
      <c r="A46" s="40" t="s">
        <v>423</v>
      </c>
      <c r="B46" s="57">
        <f>IF(AND(ISNUMBER(B45),ISNUMBER(B32),B32&gt;0,B32&lt;=7),B45/B32,"Revisar calendário")</f>
        <v>23.4</v>
      </c>
      <c r="C46" s="40" t="s">
        <v>424</v>
      </c>
      <c r="D46" s="40" t="s">
        <v>425</v>
      </c>
    </row>
    <row r="47" ht="36" customHeight="1">
      <c r="A47" s="40" t="s">
        <v>426</v>
      </c>
      <c r="B47" s="48">
        <f>IF(AND(ISNUMBER(B40),ISNUMBER(B33),B33&gt;=0),B40*B33,"Revisar valor/hora")</f>
        <v>29250</v>
      </c>
      <c r="C47" s="40" t="s">
        <v>427</v>
      </c>
      <c r="D47" s="40" t="s">
        <v>428</v>
      </c>
    </row>
    <row r="48" ht="36" customHeight="1">
      <c r="A48" s="40" t="s">
        <v>429</v>
      </c>
      <c r="B48" s="48">
        <f>IF(AND(ISNUMBER(B41),ISNUMBER(B33),B33&gt;=0),B41*B33,"Revisar valor/hora")</f>
        <v>5850</v>
      </c>
      <c r="C48" s="40" t="s">
        <v>430</v>
      </c>
      <c r="D48" s="40" t="s">
        <v>428</v>
      </c>
    </row>
    <row r="49" ht="36" customHeight="1">
      <c r="A49" s="32" t="s">
        <v>431</v>
      </c>
      <c r="B49" s="59">
        <f>IF(AND(COUNT(B47:B48)=2,ISNUMBER(B35),B35&gt;=0),SUM(B47:B48)+B35,"Revisar custos")</f>
        <v>35100</v>
      </c>
      <c r="C49" s="40" t="s">
        <v>432</v>
      </c>
      <c r="D49" s="40" t="s">
        <v>428</v>
      </c>
    </row>
    <row r="50" ht="36" customHeight="1"/>
    <row r="51" ht="36" customHeight="1"/>
    <row r="52" ht="36" customHeight="1"/>
    <row r="53" ht="36" customHeight="1"/>
    <row r="55" ht="26" customHeight="1"/>
    <row r="56" ht="57" customHeight="1"/>
    <row r="57" ht="42" customHeight="1"/>
    <row r="58" ht="42" customHeight="1"/>
    <row r="59" ht="42" customHeight="1"/>
    <row r="60" ht="42" customHeight="1"/>
    <row r="62" ht="42" customHeight="1"/>
    <row r="63" ht="42" customHeight="1"/>
    <row r="64" ht="42" customHeight="1"/>
  </sheetData>
  <mergeCells count="7">
    <mergeCell ref="C2:D2"/>
    <mergeCell ref="C3:D3"/>
    <mergeCell ref="C4:D4"/>
    <mergeCell ref="C5:D5"/>
    <mergeCell ref="A7:D7"/>
    <mergeCell ref="A26:D26"/>
    <mergeCell ref="A37:D37"/>
  </mergeCells>
  <dataValidations count="8">
    <dataValidation type="whole" showErrorMessage="1" errorTitle="Valor inválido" error="Informe um valor dentro dos limites da premissa ou nota." sqref="B9:B22">
      <formula1>0</formula1>
      <formula2>5</formula2>
    </dataValidation>
    <dataValidation type="decimal" operator="greaterThan" showErrorMessage="1" errorTitle="Valor inválido" error="Informe um valor dentro dos limites da premissa ou nota." sqref="B28">
      <formula1>0</formula1>
    </dataValidation>
    <dataValidation type="decimal" operator="greaterThan" showErrorMessage="1" errorTitle="Valor inválido" error="Informe um valor dentro dos limites da premissa ou nota." sqref="B29:B30">
      <formula1>0</formula1>
    </dataValidation>
    <dataValidation type="decimal" showErrorMessage="1" errorTitle="Valor inválido" error="Informe um valor dentro dos limites da premissa ou nota." sqref="B31">
      <formula1>0.01</formula1>
      <formula2>1</formula2>
    </dataValidation>
    <dataValidation type="whole" showErrorMessage="1" errorTitle="Valor inválido" error="Informe um valor dentro dos limites da premissa ou nota." sqref="B32">
      <formula1>1</formula1>
      <formula2>7</formula2>
    </dataValidation>
    <dataValidation type="decimal" operator="greaterThanOrEqual" showErrorMessage="1" errorTitle="Valor inválido" error="Informe um valor dentro dos limites da premissa ou nota." sqref="B33">
      <formula1>0</formula1>
    </dataValidation>
    <dataValidation type="decimal" showErrorMessage="1" errorTitle="Valor inválido" error="Informe um valor dentro dos limites da premissa ou nota." sqref="B34">
      <formula1>0</formula1>
      <formula2>1</formula2>
    </dataValidation>
    <dataValidation type="decimal" operator="greaterThanOrEqual" showErrorMessage="1" errorTitle="Valor inválido" error="Informe um valor dentro dos limites da premissa ou nota." sqref="B35">
      <formula1>0</formula1>
    </dataValidation>
  </dataValidations>
  <pageMargins left="0.699999988079071" right="0.699999988079071" top="0.75" bottom="0.75" header="0.30000001192092896" footer="0.30000001192092896"/>
  <pageSetup paperSize="9" fitToWidth="1" fitToHeight="0" orientation="landscape"/>
</worksheet>
</file>

<file path=docProps/app.xml><?xml version="1.0" encoding="utf-8"?>
<Properties xmlns="http://schemas.openxmlformats.org/officeDocument/2006/extended-properties" xmlns:vt="http://schemas.openxmlformats.org/officeDocument/2006/docPropsVTypes">
  <Application>GridCraft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